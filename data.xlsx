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  <sheet state="visible" name="Branch Stats" sheetId="2" r:id="rId6"/>
  </sheets>
  <definedNames>
    <definedName hidden="1" localSheetId="0" name="_xlnm._FilterDatabase">'Form Responses 1'!$A$1:$L$97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tc={73cd47bc-4776-43d5-9442-486668c3c2fd}</author>
    <author>tc={c6c55697-945d-4c95-af2b-0f99399b3c84}</author>
  </authors>
  <commentList>
    <comment authorId="0" xr:uid="{73cd47bc-4776-43d5-9442-486668c3c2fd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1 extra to cover Premanand and Sarojini as they paid together
</t>
      </text>
    </comment>
    <comment authorId="1" xr:uid="{c6c55697-945d-4c95-af2b-0f99399b3c84}" ref="C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4 to the count since those individuals didnt fill form. Pallavi is tracking their inputs separately.
Reply:
	4 Missing names - Sharmistha Das,Amaresh Routray,Manas Ranjan Mandal,Sanjaya Kumar Malik
</t>
      </text>
    </comment>
  </commentList>
</comments>
</file>

<file path=xl/sharedStrings.xml><?xml version="1.0" encoding="utf-8"?>
<sst xmlns="http://schemas.openxmlformats.org/spreadsheetml/2006/main" count="717" uniqueCount="342">
  <si>
    <t>Timestamp</t>
  </si>
  <si>
    <t>Name</t>
  </si>
  <si>
    <t>Branch</t>
  </si>
  <si>
    <t>Roll Number</t>
  </si>
  <si>
    <t>Initial Deposit Amount Paid</t>
  </si>
  <si>
    <t>Mode of payment</t>
  </si>
  <si>
    <t>Transaction ID / UTR / Reference Number</t>
  </si>
  <si>
    <t xml:space="preserve">Transaction date </t>
  </si>
  <si>
    <t xml:space="preserve">Transaction screenshot </t>
  </si>
  <si>
    <t>Are you planning to attend with Family?</t>
  </si>
  <si>
    <t>Number of Adults (12 years and above) attending, including yourself</t>
  </si>
  <si>
    <t>Total number of kids below 12 years attending</t>
  </si>
  <si>
    <t>Samalendu Mahakud</t>
  </si>
  <si>
    <t>Mechanical</t>
  </si>
  <si>
    <t>32ME/97</t>
  </si>
  <si>
    <t>₹ 15000</t>
  </si>
  <si>
    <t>UPI (PhonePe / GPay / Paytm / etc.)</t>
  </si>
  <si>
    <t>https://drive.google.com/open?id=1TZHgm3tmqKjdDVxFbXNI8r9o9tcB1Q3h</t>
  </si>
  <si>
    <t>No</t>
  </si>
  <si>
    <t>Sujit Mohanty</t>
  </si>
  <si>
    <t>Electrical</t>
  </si>
  <si>
    <t>12EL/97</t>
  </si>
  <si>
    <t>₹ 18000</t>
  </si>
  <si>
    <t>Bank Transfer (NEFT/IMPS/RTGS)</t>
  </si>
  <si>
    <t>XYZ</t>
  </si>
  <si>
    <t>https://drive.google.com/open?id=1KhXl-9HqZZZaNNTtkATZnwUI6MYUPY6b</t>
  </si>
  <si>
    <t>Chinmoy Parida</t>
  </si>
  <si>
    <t>25EL/97</t>
  </si>
  <si>
    <t>https://drive.google.com/open?id=1kAmT-o8L5seXZSI_Bo81vIWQCQy_YGR_</t>
  </si>
  <si>
    <t>Yes</t>
  </si>
  <si>
    <t xml:space="preserve">Dipti Mishra </t>
  </si>
  <si>
    <t>Civil</t>
  </si>
  <si>
    <t>07CE/97</t>
  </si>
  <si>
    <t>https://drive.google.com/open?id=1Q4TsLf_Alx_cyX4kZBauO9Z5e1SnwicH</t>
  </si>
  <si>
    <t xml:space="preserve">Swaroop Ray </t>
  </si>
  <si>
    <t>Archi</t>
  </si>
  <si>
    <t>13AR/97</t>
  </si>
  <si>
    <t>https://drive.google.com/open?id=1NGIh8JP_ltzjFtkxHVmnWgRibl6QPg3O</t>
  </si>
  <si>
    <t>Tapas Bastia</t>
  </si>
  <si>
    <t>03EL/97</t>
  </si>
  <si>
    <t>X7764</t>
  </si>
  <si>
    <t>https://drive.google.com/open?id=1vh-z6xo7ntWDfWh9IMxX9wSgHP8YrADQ</t>
  </si>
  <si>
    <t xml:space="preserve">Subhankar Ghosh </t>
  </si>
  <si>
    <t>I&amp;E</t>
  </si>
  <si>
    <t>09IE/97</t>
  </si>
  <si>
    <t>https://drive.google.com/open?id=1dlcp9fuuzrsh0Sb9cX3aVUn72RZPMb1o</t>
  </si>
  <si>
    <t xml:space="preserve">Pallavi Vajinepalli </t>
  </si>
  <si>
    <t xml:space="preserve">08CE97 </t>
  </si>
  <si>
    <t>Lalit Kumar Nayak</t>
  </si>
  <si>
    <t>39ME/97</t>
  </si>
  <si>
    <t>https://drive.google.com/open?id=1qWN_gawYB-QCFGI9CaoV1ky6S_FPSudf</t>
  </si>
  <si>
    <t>Alakananda Mahapatra</t>
  </si>
  <si>
    <t>19EL/97</t>
  </si>
  <si>
    <t>https://drive.google.com/open?id=1WCUcS_LRgZ3GAIeYttTaEG86QBDywNlH</t>
  </si>
  <si>
    <t xml:space="preserve">Aswini Kumar Mohapatra </t>
  </si>
  <si>
    <t>42ME/97</t>
  </si>
  <si>
    <t>https://drive.google.com/open?id=1O03ThP0Nclp6hqVZ_UgMVe9d-YNDhY8o</t>
  </si>
  <si>
    <t>Sumitra Kanungo</t>
  </si>
  <si>
    <t>17EL/97</t>
  </si>
  <si>
    <t>Xxx</t>
  </si>
  <si>
    <t>https://drive.google.com/open?id=1JCuwDUJ05CYhclAjPZxJN2ra87yxtoXh</t>
  </si>
  <si>
    <t>Chinmaya Nayak</t>
  </si>
  <si>
    <t>19IE/97</t>
  </si>
  <si>
    <t>https://drive.google.com/open?id=1ASyRlRQUGBsCFFuVMzwD-l2aPZ7T1O6V</t>
  </si>
  <si>
    <t>Aditya Bali</t>
  </si>
  <si>
    <t>23EL/97</t>
  </si>
  <si>
    <t>₹ 26000</t>
  </si>
  <si>
    <t>609780903419- I have paid the full INR 26000. There was no option for the same.</t>
  </si>
  <si>
    <t>https://drive.google.com/open?id=1WRz-CHvfwF4lLdR4pdA901p7SOloU-4U</t>
  </si>
  <si>
    <t>Satish Kumar Sahoo</t>
  </si>
  <si>
    <t>27ME/97</t>
  </si>
  <si>
    <t>NA</t>
  </si>
  <si>
    <t>https://drive.google.com/open?id=12uf9EuwqMK0_LErlowUc-jaI2iRDPzNN</t>
  </si>
  <si>
    <t>Subrat Panda</t>
  </si>
  <si>
    <t>61el/97</t>
  </si>
  <si>
    <t>https://drive.google.com/open?id=1ntdF1YPsmehEsWLXfVUH9C4Apv76QiGQ</t>
  </si>
  <si>
    <t>Manas Mishra</t>
  </si>
  <si>
    <t>25ME/97</t>
  </si>
  <si>
    <t>https://drive.google.com/open?id=1bXLIEYV_-RjWpu6tPgvwGPXpVK-8XWZY</t>
  </si>
  <si>
    <t>Chinmaya Tripathy</t>
  </si>
  <si>
    <t>Not remember</t>
  </si>
  <si>
    <t>₹ 8000</t>
  </si>
  <si>
    <t>https://drive.google.com/open?id=1ikYbxGBAS9g5rbs1AczOxHORvIAfJuv5</t>
  </si>
  <si>
    <t>Arijit Sur</t>
  </si>
  <si>
    <t>33EL/97</t>
  </si>
  <si>
    <t>https://drive.google.com/open?id=1AKyVEFGav5AhIM9rHwwwyiozQ0WFhaHS</t>
  </si>
  <si>
    <t>Bagmi Khuntia</t>
  </si>
  <si>
    <t>02AR/97</t>
  </si>
  <si>
    <t>FDE9346686</t>
  </si>
  <si>
    <t>https://drive.google.com/open?id=1iwe0plVnwycdQnKCVlH-x_BpctP3ft12</t>
  </si>
  <si>
    <t>Payel Pal</t>
  </si>
  <si>
    <t>19Arch/97</t>
  </si>
  <si>
    <t>contact.payelpal@okaxis</t>
  </si>
  <si>
    <t>https://drive.google.com/open?id=1EwJZSAFHh-OeORxb0ujIk_w3xlY1QTXs</t>
  </si>
  <si>
    <t>JAI PRAKASH MIRDHA</t>
  </si>
  <si>
    <t>02IE/97</t>
  </si>
  <si>
    <t>https://drive.google.com/open?id=1v-iblx-tJ13GavpukVZl6gSVF5KWCqVM</t>
  </si>
  <si>
    <t>Deba Karan Agrawala</t>
  </si>
  <si>
    <t>43EL/97</t>
  </si>
  <si>
    <t>HDFCH00922618568</t>
  </si>
  <si>
    <t>https://drive.google.com/open?id=1l2hcpFxF0mSe6X6P-AUaITEYPglkDMok</t>
  </si>
  <si>
    <t>Shilpa Vadlamudi</t>
  </si>
  <si>
    <t>55EL/97</t>
  </si>
  <si>
    <t>https://drive.google.com/open?id=1hL8YpLtOeASKva-iJOcAfECrWMkiQ2Au</t>
  </si>
  <si>
    <t>Jayshree Routray</t>
  </si>
  <si>
    <t>15 EL/97</t>
  </si>
  <si>
    <t>https://drive.google.com/open?id=1QbVasbcSXflmw5cbv6k9MvgqvHMyN4iZ</t>
  </si>
  <si>
    <t>Babulal Sahu</t>
  </si>
  <si>
    <t>26Ce/97</t>
  </si>
  <si>
    <t>26000rs on 2 transactions. 609007648379, 646661297976</t>
  </si>
  <si>
    <t>https://drive.google.com/open?id=1R1dFnyZEtUWetVvvr0EMuv4JrCRlLEBc</t>
  </si>
  <si>
    <t xml:space="preserve">Ashish Mohapatra </t>
  </si>
  <si>
    <t>https://drive.google.com/open?id=1ayRKZA-zKdvqlj3qR7urNh8FSZrb44-O</t>
  </si>
  <si>
    <t>Surajit Sahu</t>
  </si>
  <si>
    <t>09CE/97</t>
  </si>
  <si>
    <t>T2604111018055268876330</t>
  </si>
  <si>
    <t>https://drive.google.com/open?id=1IN7srQm1mm1ZLzNGXpuHgD5LyOGUgUGG</t>
  </si>
  <si>
    <t>Nalini Rani Sabara</t>
  </si>
  <si>
    <t>01CE/97</t>
  </si>
  <si>
    <t>T2604111201554290579807</t>
  </si>
  <si>
    <t>https://drive.google.com/open?id=1d3yD5j_Z_-dYNOzOyVGJ4Fhr8WUe7KsU</t>
  </si>
  <si>
    <t>Kamesh</t>
  </si>
  <si>
    <t>31EL/97</t>
  </si>
  <si>
    <t>https://drive.google.com/open?id=1gQLGh2g52wjy5mGrs9Oph2lWfAoQAaDF</t>
  </si>
  <si>
    <t>Saroj kumar Lenka</t>
  </si>
  <si>
    <t>23CE/97</t>
  </si>
  <si>
    <t>https://drive.google.com/open?id=1n03-F_qHMrEsvC-68e6ZMHa4CXObnmNO</t>
  </si>
  <si>
    <t>Rajashree Behera</t>
  </si>
  <si>
    <t>21ME/97</t>
  </si>
  <si>
    <t>CICAgNj4q9KAxg</t>
  </si>
  <si>
    <t>https://drive.google.com/open?id=1nlMAFIXyE2IscgFi6vJtSQCs_5TMUWGa</t>
  </si>
  <si>
    <t>Debi Jena</t>
  </si>
  <si>
    <t>26ME/97</t>
  </si>
  <si>
    <t>FD37217913</t>
  </si>
  <si>
    <t>https://drive.google.com/open?id=1CN94fszEZN9OG9hgI6yCiVE0_LFlLpyp</t>
  </si>
  <si>
    <t xml:space="preserve">Sumita Satpathy </t>
  </si>
  <si>
    <t>3AR/97</t>
  </si>
  <si>
    <t>UTR842227680333</t>
  </si>
  <si>
    <t>https://drive.google.com/open?id=1jU3HCFJso18-YRf8z401CVzZOsFRMXsr</t>
  </si>
  <si>
    <t>Partha Siddharth</t>
  </si>
  <si>
    <t>07AR/97</t>
  </si>
  <si>
    <t>https://drive.google.com/open?id=17DlG7WjvUBj4lpSZ2nY7LzJrzn7cZUWY</t>
  </si>
  <si>
    <t>Manoj Maheshwari</t>
  </si>
  <si>
    <t>49ME/97</t>
  </si>
  <si>
    <t>FDJ0420912</t>
  </si>
  <si>
    <t>https://drive.google.com/open?id=1rk9NtdRtH38uSyrZSv1tEZze87joBYgk</t>
  </si>
  <si>
    <t xml:space="preserve">Chintamani sethi </t>
  </si>
  <si>
    <t>2CE/97</t>
  </si>
  <si>
    <t>https://drive.google.com/open?id=1Lj6_WF65X6qdTQmdpdZaQ2pisiravrrp</t>
  </si>
  <si>
    <t>Prakash Rao</t>
  </si>
  <si>
    <t>08ME/97</t>
  </si>
  <si>
    <t>610582766541, 121644167171</t>
  </si>
  <si>
    <t>https://drive.google.com/open?id=13lNoHB8SG-HovBo1eBVdq5KxjnfXjoKh, https://drive.google.com/open?id=1JhIRBlm0nrKRJwVsZtiBvqAZRKqZKSvO</t>
  </si>
  <si>
    <t>PREMANANDA MAITY</t>
  </si>
  <si>
    <t>46ME/97 &amp; 4ME/97</t>
  </si>
  <si>
    <t>₹ 16000</t>
  </si>
  <si>
    <t>T2604152206561642700909</t>
  </si>
  <si>
    <r>
      <rPr>
        <color rgb="FF434343"/>
        <u/>
      </rPr>
      <t>https://drive.google.com/open?id=1ucrR6ONI79BmLVJzjWWZTDc-r0kHn1jz</t>
    </r>
    <r>
      <rPr>
        <color rgb="FF1F1F1F"/>
      </rPr>
      <t xml:space="preserve">, </t>
    </r>
    <r>
      <rPr>
        <color rgb="FF1155CC"/>
        <u/>
      </rPr>
      <t>https://drive.google.com/file/d/133_5hr0a89QwiXEbKEmMBz4QP0uvh2Gy/view?usp=drive_link</t>
    </r>
  </si>
  <si>
    <t>Anupam Saha</t>
  </si>
  <si>
    <t>12ME/97</t>
  </si>
  <si>
    <t>https://drive.google.com/open?id=1oHXG0L1npOdXS45ekFtmwZWJCRoJrjga</t>
  </si>
  <si>
    <t xml:space="preserve">Devulapalli Srinivas </t>
  </si>
  <si>
    <t>23IE/97</t>
  </si>
  <si>
    <t>UTR:696116301867</t>
  </si>
  <si>
    <t>https://drive.google.com/open?id=1zEHmYSXs1-kiLkJRV0pv9O3AeT3CpPkQ</t>
  </si>
  <si>
    <t xml:space="preserve">DEBARAJ BEHERA </t>
  </si>
  <si>
    <t>06EL/97</t>
  </si>
  <si>
    <t>SBIN426106555101</t>
  </si>
  <si>
    <t>https://drive.google.com/open?id=1QwDb32KVbIBVhrE86rBdDqqgYPQCJVMU</t>
  </si>
  <si>
    <t xml:space="preserve">Sarat Chandra Ghadei </t>
  </si>
  <si>
    <t>04CE/97</t>
  </si>
  <si>
    <t>Others</t>
  </si>
  <si>
    <t>https://drive.google.com/open?id=1TFjp2octSBZ3uuEZy0nAIlb5oLh1TY8c</t>
  </si>
  <si>
    <t xml:space="preserve">Pravas Kumar Das </t>
  </si>
  <si>
    <t>24CE/97</t>
  </si>
  <si>
    <t>https://drive.google.com/open?id=1CySxXKGz50xr0lYp7GwG1dqChKwteDlp</t>
  </si>
  <si>
    <t>Bandita Paikaray</t>
  </si>
  <si>
    <t>15CD/97</t>
  </si>
  <si>
    <t>https://drive.google.com/open?id=1s18R3cm3NZWxT4YE6kfwbVYc7Mgp3ogM</t>
  </si>
  <si>
    <t>Purojeet Mishra</t>
  </si>
  <si>
    <t>https://drive.google.com/open?id=1jH98jhpRw1Q0_ZDQuJtvcuWvm3dNskiF</t>
  </si>
  <si>
    <t>Amit kiran Das</t>
  </si>
  <si>
    <t>39EL/97</t>
  </si>
  <si>
    <t>https://drive.google.com/open?id=1p3kW9qlmAF3wcZMV75bZhpfCHpRH5int</t>
  </si>
  <si>
    <t>debi prasad sahu</t>
  </si>
  <si>
    <t>10AR/97</t>
  </si>
  <si>
    <r>
      <rPr>
        <color rgb="FF434343"/>
        <u/>
      </rPr>
      <t>https://drive.google.com/open?id=1nwjYOunI7nFokmizsieMV_Z4pMvg58qK</t>
    </r>
    <r>
      <rPr>
        <color rgb="FF1F1F1F"/>
      </rPr>
      <t xml:space="preserve">, </t>
    </r>
    <r>
      <rPr>
        <color rgb="FF1155CC"/>
        <u/>
      </rPr>
      <t>https://drive.google.com/file/d/1A_oCjgH7kVLUw4cGeJxcATHuKNRQfcU6/view?usp=drive_link</t>
    </r>
  </si>
  <si>
    <t>Preetam Kumar</t>
  </si>
  <si>
    <t>https://drive.google.com/open?id=1dDuTJK-Ulyzj38Fb92RLVvBLWgr00ggq</t>
  </si>
  <si>
    <t xml:space="preserve">Rama Krishna Patnaik </t>
  </si>
  <si>
    <t>48ME/97</t>
  </si>
  <si>
    <t>https://drive.google.com/open?id=1_NMGcJYtKJEYe0Z8R8SQSuJl48Z3VsuQ</t>
  </si>
  <si>
    <t>Sabyasachi Misra</t>
  </si>
  <si>
    <t>33ME/97</t>
  </si>
  <si>
    <t>https://drive.google.com/open?id=1sRu1ROk_K9K8J4BxK9r_TMhnWBhGyCRM</t>
  </si>
  <si>
    <t xml:space="preserve">Devasmita Gantayet </t>
  </si>
  <si>
    <t>https://drive.google.com/open?id=1x23B_hzW4RahFhL1AAYNhwKOcVcOu248</t>
  </si>
  <si>
    <t>Atul Sinha</t>
  </si>
  <si>
    <t>28 IE/97</t>
  </si>
  <si>
    <t>https://drive.google.com/open?id=1Zd5HGr7FSAD3rSisw4zTE5nRMNx0TE2H</t>
  </si>
  <si>
    <t xml:space="preserve">Somasekhar Sahoo </t>
  </si>
  <si>
    <t>25CE97</t>
  </si>
  <si>
    <t>https://drive.google.com/open?id=1vg8YJAYbo06hiH8baz0BlVzvsxyuIS6Y</t>
  </si>
  <si>
    <t>Rajesh Kumar Dash</t>
  </si>
  <si>
    <t>21CE/97</t>
  </si>
  <si>
    <t>raju.dash.irse@okaxis</t>
  </si>
  <si>
    <t>https://drive.google.com/open?id=12EdbBKpoKkV_pbyGmUHoHvhgOXZ2f-NY</t>
  </si>
  <si>
    <t>Ipsita Mishra</t>
  </si>
  <si>
    <t>13CE/97</t>
  </si>
  <si>
    <t>https://drive.google.com/open?id=1niNcfdVPxdU4QYE9a5-bxqQB6b0_6bPC</t>
  </si>
  <si>
    <t>Jyoti prakash mohanty</t>
  </si>
  <si>
    <t>27CE/97</t>
  </si>
  <si>
    <t>FDT2643836</t>
  </si>
  <si>
    <t>https://drive.google.com/open?id=1M2ARs-_9wMbpqOXBurgzjjt_sNgrZzx6</t>
  </si>
  <si>
    <t>SMRUTI RATH</t>
  </si>
  <si>
    <t>14CE/97</t>
  </si>
  <si>
    <t>https://drive.google.com/open?id=1WbbwKnFJ5QtYZkMalF_xDchjt9cH1USI</t>
  </si>
  <si>
    <t>Md samsul huq</t>
  </si>
  <si>
    <t>28EL/97</t>
  </si>
  <si>
    <t>https://drive.google.com/file/d/1MSAijvVy8xW7Gn62nvyuKssWqNBmeKZS/view?usp=drive_link</t>
  </si>
  <si>
    <t>Avaya Kumar Nayak</t>
  </si>
  <si>
    <t>27EL/97</t>
  </si>
  <si>
    <t>https://drive.google.com/file/d/1n1Z0Td0bW3FehKy19pQ4FWA1fCQRYVkk/view?usp=sharing</t>
  </si>
  <si>
    <t xml:space="preserve">Basant Kumar Behera </t>
  </si>
  <si>
    <t>05EL/97</t>
  </si>
  <si>
    <t>https://drive.google.com/open?id=1zW7mhoDDqQWVNBWlaNBDJ4YQ7R5WU1XM</t>
  </si>
  <si>
    <t xml:space="preserve">Radha Charan Kisku </t>
  </si>
  <si>
    <t>01EL/97</t>
  </si>
  <si>
    <t>https://drive.google.com/open?id=1oCNt5Q7aBydsPWb6CD8ZeUA6oq3ONd_1</t>
  </si>
  <si>
    <t>Bibhuti Bhusan Das</t>
  </si>
  <si>
    <t>https://drive.google.com/open?id=1KpX50gkMw3hX8rNkk_eWi8y7gr5J4-gv</t>
  </si>
  <si>
    <t xml:space="preserve">Monalisa Kar </t>
  </si>
  <si>
    <t>10ie97</t>
  </si>
  <si>
    <t>https://drive.google.com/open?id=1l7T7FF_W8AGTquoikuAUktBRe9t-NUvE</t>
  </si>
  <si>
    <t>Rasmita Bhole</t>
  </si>
  <si>
    <t xml:space="preserve">Smrutiranjan pattanayak </t>
  </si>
  <si>
    <t>14 Archi /97</t>
  </si>
  <si>
    <t>081893002308</t>
  </si>
  <si>
    <t>https://drive.google.com/open?id=1-qBsetFHwQLWfVCDb6YKbBvBNvHchyD1</t>
  </si>
  <si>
    <t>Sidhartha Patnaik</t>
  </si>
  <si>
    <t>15AR/97</t>
  </si>
  <si>
    <t>SCBLN52026042700698406</t>
  </si>
  <si>
    <t>https://drive.google.com/open?id=1FLDcTDQ9YHe40l7Fea-ddkSkmlIcam_v</t>
  </si>
  <si>
    <t>Madhusmita padhi</t>
  </si>
  <si>
    <t>T2604251634387400805554</t>
  </si>
  <si>
    <t>https://drive.google.com/open?id=1gL4ahQMo9ASX_buIK41x6V1N8yX4bmMf</t>
  </si>
  <si>
    <t xml:space="preserve">Sanjay Kumar Behera </t>
  </si>
  <si>
    <t>5ME/97</t>
  </si>
  <si>
    <t>https://drive.google.com/file/d/12Nw8dGW6M0maMaaIRFjOx2OtX5Pj7sb2/view?usp=sharing</t>
  </si>
  <si>
    <t>Amarendra Padhee</t>
  </si>
  <si>
    <t>19AR/97</t>
  </si>
  <si>
    <t>https://drive.google.com/open?id=1jxgH_qG4baSzYvkBF_xS3CztjrqcYUF_</t>
  </si>
  <si>
    <t>Debaraj Das</t>
  </si>
  <si>
    <t>08AR/97</t>
  </si>
  <si>
    <t>https://drive.google.com/open?id=1kVFVpfcbG-1sRV_vVInKp5p5mx6C0_nv</t>
  </si>
  <si>
    <t>SURAJIT DAS</t>
  </si>
  <si>
    <t>16 ARCH/97</t>
  </si>
  <si>
    <t>https://drive.google.com/open?id=1-mqGMtp_BHRurNb-hfHGwbdEBciY44T9, https://drive.google.com/open?id=1sOtHOwS3RhkDjzR_wPllHk62IXEywWsX</t>
  </si>
  <si>
    <t>SRINIBASH PATRA</t>
  </si>
  <si>
    <t>11AR/97</t>
  </si>
  <si>
    <t>https://drive.google.com/open?id=1cys9yo8zR-3i7g1a_GXaH-w9sWaru2Kl</t>
  </si>
  <si>
    <t>SHARMISTHA DAS</t>
  </si>
  <si>
    <t>12CE/97</t>
  </si>
  <si>
    <t>Basna Jaisingh</t>
  </si>
  <si>
    <t>18ME/97</t>
  </si>
  <si>
    <t>https://drive.google.com/open?id=10N3N4v4HY8FMKn-j_hUlCLHBT_z07SQp</t>
  </si>
  <si>
    <t xml:space="preserve">Tapas Kumar Tripathy </t>
  </si>
  <si>
    <t>30IE/97</t>
  </si>
  <si>
    <t>T2605011029413762347903</t>
  </si>
  <si>
    <t>https://drive.google.com/open?id=1XgBRri7OEN4hg1WZw3fnhVhfruEBgLkI</t>
  </si>
  <si>
    <t>Mousumi Sahu</t>
  </si>
  <si>
    <t>12ie/97</t>
  </si>
  <si>
    <t>AXOIR12400905746</t>
  </si>
  <si>
    <t>https://drive.google.com/open?id=12HO7vHM3bI8iGS0YJyUA6GjeC9oqc45t</t>
  </si>
  <si>
    <t>JITENDRA KUMAR ORAM</t>
  </si>
  <si>
    <t>01ME/97</t>
  </si>
  <si>
    <t>T2605022116290251172825</t>
  </si>
  <si>
    <t>https://drive.google.com/open?id=172MInk29AwCjtM57_gQQdcqFfP0It7kH</t>
  </si>
  <si>
    <t>Santosh Behera</t>
  </si>
  <si>
    <t>26EL/97</t>
  </si>
  <si>
    <t>https://drive.google.com/open?id=1xzQmR0_2pG6qk9GCzEJiFv_Cem5kmXxd</t>
  </si>
  <si>
    <t xml:space="preserve">PRANAB BISWAL </t>
  </si>
  <si>
    <t>45 ME/97</t>
  </si>
  <si>
    <t>T2605021840275691577119</t>
  </si>
  <si>
    <t>https://drive.google.com/open?id=1NfQFovXRaotboBzmVJ-bnlQLCCaOM_Ge</t>
  </si>
  <si>
    <t xml:space="preserve">Arjyashree </t>
  </si>
  <si>
    <t>41ME/97</t>
  </si>
  <si>
    <r>
      <rPr>
        <color rgb="FF434343"/>
        <u/>
      </rPr>
      <t>https://drive.google.com/file/d/1fLF7xbeBOTSw03cIcJk5PmkWRUVKBfTU/view?usp=drive_link</t>
    </r>
    <r>
      <rPr>
        <color rgb="FF1F1F1F"/>
      </rPr>
      <t xml:space="preserve">, </t>
    </r>
    <r>
      <rPr>
        <color rgb="FF1155CC"/>
        <u/>
      </rPr>
      <t>https://drive.google.com/file/d/1hPyiAzOm-1tt2VfrWxSrvQPBAHxIrxHT/view?usp=drive_link</t>
    </r>
  </si>
  <si>
    <t>Dinesh Kumar Dash</t>
  </si>
  <si>
    <t>17IE/97</t>
  </si>
  <si>
    <t>https://drive.google.com/open?id=1kRkslZQ8XY3oF2IwJ6N0FSJMvqJ64-dR</t>
  </si>
  <si>
    <t xml:space="preserve">Subhasis Mohanty </t>
  </si>
  <si>
    <t>31ME/97</t>
  </si>
  <si>
    <t>T2605071258216285616177</t>
  </si>
  <si>
    <t>https://drive.google.com/file/d/1Xy4-g0PFzELQiEtNbz3QwzVZfU6IgHvE/view?usp=drive_link</t>
  </si>
  <si>
    <t xml:space="preserve">JYOTIRMAYEE Majhi </t>
  </si>
  <si>
    <t>04IE/97</t>
  </si>
  <si>
    <t>UTR: 682023876631</t>
  </si>
  <si>
    <t xml:space="preserve">SAURYA KUMAR DALAI </t>
  </si>
  <si>
    <t>06IE/97</t>
  </si>
  <si>
    <t>UTR NO: 121963845960</t>
  </si>
  <si>
    <t>Deepika Rout</t>
  </si>
  <si>
    <t>18EL/97</t>
  </si>
  <si>
    <t>https://drive.google.com/open?id=1KP9iYs_bmTOnO6eHfsKQ_a5UxiRhexvm</t>
  </si>
  <si>
    <t>Brijesh Kumar Dalai</t>
  </si>
  <si>
    <t>09ME/97</t>
  </si>
  <si>
    <t>https://drive.google.com/open?id=1JDmYDH3-vGsO1nadWePbLZQ_XyN0obRX</t>
  </si>
  <si>
    <t>Ananta Patel</t>
  </si>
  <si>
    <t>17ARCH/97</t>
  </si>
  <si>
    <t>https://drive.google.com/open?id=1q9mOF2W9Y2A4af4WOcSVdhyNATmsCVTg</t>
  </si>
  <si>
    <t>Muralidhar sarangi</t>
  </si>
  <si>
    <t>34M/97</t>
  </si>
  <si>
    <t>T2605111415404438967879</t>
  </si>
  <si>
    <t>https://drive.google.com/open?id=1SCMyxPVNdPlfujDv5pgGpTQ8R1fw7fJl</t>
  </si>
  <si>
    <t>LOPAMUDRA B. PANDA</t>
  </si>
  <si>
    <t>05ARCH/97</t>
  </si>
  <si>
    <t>613225578394 - Transaction ID</t>
  </si>
  <si>
    <t>https://drive.google.com/open?id=1c7p1wCbO09Ny4lTZkaARcZ-URx7vuq1R</t>
  </si>
  <si>
    <t>Dipti Kar</t>
  </si>
  <si>
    <t>16EL/97</t>
  </si>
  <si>
    <t>Gpay</t>
  </si>
  <si>
    <t>Santosh kumar sabar</t>
  </si>
  <si>
    <t>03IE/97</t>
  </si>
  <si>
    <t>UTR:285720308108</t>
  </si>
  <si>
    <t>https://drive.google.com/file/d/1uUsqK_4Ljy4oz0lQAWk2M1joNWuhGuWX/view?usp=drive_link</t>
  </si>
  <si>
    <t>SHASHANKA SEKHAR DASH</t>
  </si>
  <si>
    <t>27IE/97</t>
  </si>
  <si>
    <t>T2605152320413079679277</t>
  </si>
  <si>
    <t>Ashok dash</t>
  </si>
  <si>
    <t>05IE</t>
  </si>
  <si>
    <t>Sanjit kumar Rout</t>
  </si>
  <si>
    <t>18AR97</t>
  </si>
  <si>
    <t>HDFCH00994864838</t>
  </si>
  <si>
    <t>https://drive.google.com/open?id=1efNqzFSjuUMtOhK45Xq0bpWSJkZaZKzN</t>
  </si>
  <si>
    <t>SUNIL KUMAR TUDU</t>
  </si>
  <si>
    <t>01ME/96</t>
  </si>
  <si>
    <t>https://drive.google.com/open?id=1y9kRjYAalyPPkjZaZTuG1vnBYCLd3c1I</t>
  </si>
  <si>
    <t>Total Strength</t>
  </si>
  <si>
    <t>Confirmed</t>
  </si>
  <si>
    <t>Pending</t>
  </si>
  <si>
    <t xml:space="preserve">% Confirmed 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</si>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</sst>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top style="double">
        <color rgb="FF000000"/>
      </top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/>
    </xf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3" xfId="0" applyFont="1" applyNumberFormat="1"/>
    <xf borderId="0" fillId="0" fontId="1" numFmtId="10" xfId="0" applyFont="1" applyNumberFormat="1"/>
    <xf borderId="1" fillId="0" fontId="6" numFmtId="0" xfId="0" applyAlignment="1" applyBorder="1" applyFont="1">
      <alignment horizontal="right" readingOrder="0"/>
    </xf>
    <xf borderId="1" fillId="0" fontId="6" numFmtId="0" xfId="0" applyAlignment="1" applyBorder="1" applyFont="1">
      <alignment horizontal="right"/>
    </xf>
    <xf borderId="1" fillId="0" fontId="6" numFmtId="3" xfId="0" applyAlignment="1" applyBorder="1" applyFont="1" applyNumberFormat="1">
      <alignment horizontal="right"/>
    </xf>
    <xf borderId="1" fillId="0" fontId="1" numFmtId="10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388245682888534"/>
          <c:y val="0.1992385786802032"/>
          <c:w val="0.7359957743264256"/>
          <c:h val="0.7050761421319798"/>
        </c:manualLayout>
      </c:layout>
      <c:barChart>
        <c:barDir val="bar"/>
        <c:grouping val="percentStacked"/>
        <c:ser>
          <c:idx val="0"/>
          <c:order val="0"/>
          <c:tx>
            <c:strRef>
              <c:f>'Branch Stats'!$C$1</c:f>
            </c:strRef>
          </c:tx>
          <c:spPr>
            <a:solidFill>
              <a:srgbClr val="6AA84F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1200">
                    <a:latin typeface="Verdana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'Branch Stats'!$A$2:$A$6</c:f>
            </c:strRef>
          </c:cat>
          <c:val>
            <c:numRef>
              <c:f>'Branch Stats'!$C$2:$C$6</c:f>
              <c:numCache/>
            </c:numRef>
          </c:val>
        </c:ser>
        <c:ser>
          <c:idx val="1"/>
          <c:order val="1"/>
          <c:tx>
            <c:strRef>
              <c:f>'Branch Stats'!$D$1</c:f>
            </c:strRef>
          </c:tx>
          <c:spPr>
            <a:solidFill>
              <a:srgbClr val="D9EAD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1200">
                    <a:latin typeface="Verdana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'Branch Stats'!$A$2:$A$6</c:f>
            </c:strRef>
          </c:cat>
          <c:val>
            <c:numRef>
              <c:f>'Branch Stats'!$D$2:$D$6</c:f>
              <c:numCache/>
            </c:numRef>
          </c:val>
        </c:ser>
        <c:overlap val="100"/>
        <c:axId val="192708234"/>
        <c:axId val="744618099"/>
      </c:barChart>
      <c:catAx>
        <c:axId val="19270823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b="0">
                    <a:solidFill>
                      <a:srgbClr val="000000"/>
                    </a:solidFill>
                    <a:latin typeface="Verdana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</a:p>
        </c:txPr>
        <c:crossAx val="744618099"/>
      </c:catAx>
      <c:valAx>
        <c:axId val="7446180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b="0">
                    <a:solidFill>
                      <a:srgbClr val="000000"/>
                    </a:solidFill>
                    <a:latin typeface="Verdana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</a:p>
        </c:txPr>
        <c:crossAx val="19270823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Verdana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8</xdr:row>
      <xdr:rowOff>142875</xdr:rowOff>
    </xdr:from>
    <xdr:ext cx="6419850" cy="39719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CETB 2001" id="{a1f9d890-ab70-4275-9e63-8421b888b6fa}" providerId="google-sheets"/>
</x18tc:personList>
</file>

<file path=xl/tables/table1.xml><?xml version="1.0" encoding="utf-8"?>
<table xmlns="http://schemas.openxmlformats.org/spreadsheetml/2006/main" ref="A1:L97" displayName="Form_Responses" name="Form_Responses" id="1">
  <autoFilter ref="$A$1:$L$97"/>
  <tableColumns count="12">
    <tableColumn name="Timestamp" id="1"/>
    <tableColumn name="Name" id="2"/>
    <tableColumn name="Branch" id="3"/>
    <tableColumn name="Roll Number" id="4"/>
    <tableColumn name="Initial Deposit Amount Paid" id="5"/>
    <tableColumn name="Mode of payment" id="6"/>
    <tableColumn name="Transaction ID / UTR / Reference Number" id="7"/>
    <tableColumn name="Transaction date " id="8"/>
    <tableColumn name="Transaction screenshot " id="9"/>
    <tableColumn name="Are you planning to attend with Family?" id="10"/>
    <tableColumn name="Number of Adults (12 years and above) attending, including yourself" id="11"/>
    <tableColumn name="Total number of kids below 12 years attending" id="12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4" dT="2026-04-28T11:52:32.00" personId="{a1f9d890-ab70-4275-9e63-8421b888b6fa}" id="{c6c55697-945d-4c95-af2b-0f99399b3c84}" done="1">
    <x18tc:text xml:space="preserve">Added 4 to the count since those individuals didnt fill form. Pallavi is tracking their inputs separately.</x18tc:text>
  </x18tc:threadedComment>
  <x18tc:threadedComment ref="C4" dT="2026-04-28T12:13:04.00" personId="{a1f9d890-ab70-4275-9e63-8421b888b6fa}" id="{be574830-3796-4174-a9b5-7126de936f39}" parentId="{c6c55697-945d-4c95-af2b-0f99399b3c84}">
    <x18tc:text xml:space="preserve">4 Missing names - Sharmistha Das,Amaresh Routray,Manas Ranjan Mandal,Sanjaya Kumar Malik</x18tc:text>
  </x18tc:threadedComment>
  <x18tc:threadedComment ref="C6" dT="2026-04-20T16:04:31.00" personId="{a1f9d890-ab70-4275-9e63-8421b888b6fa}" id="{73cd47bc-4776-43d5-9442-486668c3c2fd}" done="0">
    <x18tc:text xml:space="preserve">Added 1 extra to cover Premanand and Sarojini as they paid together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open?id=1QwDb32KVbIBVhrE86rBdDqqgYPQCJVMU" TargetMode="External"/><Relationship Id="rId84" Type="http://schemas.openxmlformats.org/officeDocument/2006/relationships/hyperlink" Target="https://drive.google.com/file/d/1uUsqK_4Ljy4oz0lQAWk2M1joNWuhGuWX/view?usp=drive_link" TargetMode="External"/><Relationship Id="rId83" Type="http://schemas.openxmlformats.org/officeDocument/2006/relationships/hyperlink" Target="https://drive.google.com/open?id=1c7p1wCbO09Ny4lTZkaARcZ-URx7vuq1R" TargetMode="External"/><Relationship Id="rId42" Type="http://schemas.openxmlformats.org/officeDocument/2006/relationships/hyperlink" Target="https://drive.google.com/open?id=1CySxXKGz50xr0lYp7GwG1dqChKwteDlp" TargetMode="External"/><Relationship Id="rId86" Type="http://schemas.openxmlformats.org/officeDocument/2006/relationships/hyperlink" Target="https://drive.google.com/open?id=1y9kRjYAalyPPkjZaZTuG1vnBYCLd3c1I" TargetMode="External"/><Relationship Id="rId41" Type="http://schemas.openxmlformats.org/officeDocument/2006/relationships/hyperlink" Target="https://drive.google.com/open?id=1TFjp2octSBZ3uuEZy0nAIlb5oLh1TY8c" TargetMode="External"/><Relationship Id="rId85" Type="http://schemas.openxmlformats.org/officeDocument/2006/relationships/hyperlink" Target="https://drive.google.com/open?id=1efNqzFSjuUMtOhK45Xq0bpWSJkZaZKzN" TargetMode="External"/><Relationship Id="rId44" Type="http://schemas.openxmlformats.org/officeDocument/2006/relationships/hyperlink" Target="https://drive.google.com/open?id=1jH98jhpRw1Q0_ZDQuJtvcuWvm3dNskiF" TargetMode="External"/><Relationship Id="rId43" Type="http://schemas.openxmlformats.org/officeDocument/2006/relationships/hyperlink" Target="https://drive.google.com/open?id=1s18R3cm3NZWxT4YE6kfwbVYc7Mgp3ogM" TargetMode="External"/><Relationship Id="rId87" Type="http://schemas.openxmlformats.org/officeDocument/2006/relationships/drawing" Target="../drawings/drawing1.xml"/><Relationship Id="rId46" Type="http://schemas.openxmlformats.org/officeDocument/2006/relationships/hyperlink" Target="https://drive.google.com/open?id=1nwjYOunI7nFokmizsieMV_Z4pMvg58qK" TargetMode="External"/><Relationship Id="rId45" Type="http://schemas.openxmlformats.org/officeDocument/2006/relationships/hyperlink" Target="https://drive.google.com/open?id=1p3kW9qlmAF3wcZMV75bZhpfCHpRH5int" TargetMode="External"/><Relationship Id="rId89" Type="http://schemas.openxmlformats.org/officeDocument/2006/relationships/table" Target="../tables/table1.xml"/><Relationship Id="rId80" Type="http://schemas.openxmlformats.org/officeDocument/2006/relationships/hyperlink" Target="https://drive.google.com/open?id=1JDmYDH3-vGsO1nadWePbLZQ_XyN0obRX" TargetMode="External"/><Relationship Id="rId82" Type="http://schemas.openxmlformats.org/officeDocument/2006/relationships/hyperlink" Target="https://drive.google.com/open?id=1SCMyxPVNdPlfujDv5pgGpTQ8R1fw7fJl" TargetMode="External"/><Relationship Id="rId81" Type="http://schemas.openxmlformats.org/officeDocument/2006/relationships/hyperlink" Target="https://drive.google.com/open?id=1q9mOF2W9Y2A4af4WOcSVdhyNATmsCVTg" TargetMode="External"/><Relationship Id="rId1" Type="http://schemas.openxmlformats.org/officeDocument/2006/relationships/hyperlink" Target="https://drive.google.com/open?id=1TZHgm3tmqKjdDVxFbXNI8r9o9tcB1Q3h" TargetMode="External"/><Relationship Id="rId2" Type="http://schemas.openxmlformats.org/officeDocument/2006/relationships/hyperlink" Target="https://drive.google.com/open?id=1KhXl-9HqZZZaNNTtkATZnwUI6MYUPY6b" TargetMode="External"/><Relationship Id="rId3" Type="http://schemas.openxmlformats.org/officeDocument/2006/relationships/hyperlink" Target="https://drive.google.com/open?id=1kAmT-o8L5seXZSI_Bo81vIWQCQy_YGR_" TargetMode="External"/><Relationship Id="rId4" Type="http://schemas.openxmlformats.org/officeDocument/2006/relationships/hyperlink" Target="https://drive.google.com/open?id=1Q4TsLf_Alx_cyX4kZBauO9Z5e1SnwicH" TargetMode="External"/><Relationship Id="rId9" Type="http://schemas.openxmlformats.org/officeDocument/2006/relationships/hyperlink" Target="https://drive.google.com/open?id=1WCUcS_LRgZ3GAIeYttTaEG86QBDywNlH" TargetMode="External"/><Relationship Id="rId48" Type="http://schemas.openxmlformats.org/officeDocument/2006/relationships/hyperlink" Target="https://drive.google.com/open?id=1_NMGcJYtKJEYe0Z8R8SQSuJl48Z3VsuQ" TargetMode="External"/><Relationship Id="rId47" Type="http://schemas.openxmlformats.org/officeDocument/2006/relationships/hyperlink" Target="https://drive.google.com/open?id=1dDuTJK-Ulyzj38Fb92RLVvBLWgr00ggq" TargetMode="External"/><Relationship Id="rId49" Type="http://schemas.openxmlformats.org/officeDocument/2006/relationships/hyperlink" Target="https://drive.google.com/open?id=1sRu1ROk_K9K8J4BxK9r_TMhnWBhGyCRM" TargetMode="External"/><Relationship Id="rId5" Type="http://schemas.openxmlformats.org/officeDocument/2006/relationships/hyperlink" Target="https://drive.google.com/open?id=1NGIh8JP_ltzjFtkxHVmnWgRibl6QPg3O" TargetMode="External"/><Relationship Id="rId6" Type="http://schemas.openxmlformats.org/officeDocument/2006/relationships/hyperlink" Target="https://drive.google.com/open?id=1vh-z6xo7ntWDfWh9IMxX9wSgHP8YrADQ" TargetMode="External"/><Relationship Id="rId7" Type="http://schemas.openxmlformats.org/officeDocument/2006/relationships/hyperlink" Target="https://drive.google.com/open?id=1dlcp9fuuzrsh0Sb9cX3aVUn72RZPMb1o" TargetMode="External"/><Relationship Id="rId8" Type="http://schemas.openxmlformats.org/officeDocument/2006/relationships/hyperlink" Target="https://drive.google.com/open?id=1qWN_gawYB-QCFGI9CaoV1ky6S_FPSudf" TargetMode="External"/><Relationship Id="rId73" Type="http://schemas.openxmlformats.org/officeDocument/2006/relationships/hyperlink" Target="https://drive.google.com/open?id=172MInk29AwCjtM57_gQQdcqFfP0It7kH" TargetMode="External"/><Relationship Id="rId72" Type="http://schemas.openxmlformats.org/officeDocument/2006/relationships/hyperlink" Target="https://drive.google.com/open?id=12HO7vHM3bI8iGS0YJyUA6GjeC9oqc45t" TargetMode="External"/><Relationship Id="rId31" Type="http://schemas.openxmlformats.org/officeDocument/2006/relationships/hyperlink" Target="https://drive.google.com/open?id=1nlMAFIXyE2IscgFi6vJtSQCs_5TMUWGa" TargetMode="External"/><Relationship Id="rId75" Type="http://schemas.openxmlformats.org/officeDocument/2006/relationships/hyperlink" Target="https://drive.google.com/open?id=1NfQFovXRaotboBzmVJ-bnlQLCCaOM_Ge" TargetMode="External"/><Relationship Id="rId30" Type="http://schemas.openxmlformats.org/officeDocument/2006/relationships/hyperlink" Target="https://drive.google.com/open?id=1n03-F_qHMrEsvC-68e6ZMHa4CXObnmNO" TargetMode="External"/><Relationship Id="rId74" Type="http://schemas.openxmlformats.org/officeDocument/2006/relationships/hyperlink" Target="https://drive.google.com/open?id=1xzQmR0_2pG6qk9GCzEJiFv_Cem5kmXxd" TargetMode="External"/><Relationship Id="rId33" Type="http://schemas.openxmlformats.org/officeDocument/2006/relationships/hyperlink" Target="https://drive.google.com/open?id=1jU3HCFJso18-YRf8z401CVzZOsFRMXsr" TargetMode="External"/><Relationship Id="rId77" Type="http://schemas.openxmlformats.org/officeDocument/2006/relationships/hyperlink" Target="https://drive.google.com/open?id=1kRkslZQ8XY3oF2IwJ6N0FSJMvqJ64-dR" TargetMode="External"/><Relationship Id="rId32" Type="http://schemas.openxmlformats.org/officeDocument/2006/relationships/hyperlink" Target="https://drive.google.com/open?id=1CN94fszEZN9OG9hgI6yCiVE0_LFlLpyp" TargetMode="External"/><Relationship Id="rId76" Type="http://schemas.openxmlformats.org/officeDocument/2006/relationships/hyperlink" Target="https://drive.google.com/file/d/1fLF7xbeBOTSw03cIcJk5PmkWRUVKBfTU/view?usp=drive_link" TargetMode="External"/><Relationship Id="rId35" Type="http://schemas.openxmlformats.org/officeDocument/2006/relationships/hyperlink" Target="https://drive.google.com/open?id=1rk9NtdRtH38uSyrZSv1tEZze87joBYgk" TargetMode="External"/><Relationship Id="rId79" Type="http://schemas.openxmlformats.org/officeDocument/2006/relationships/hyperlink" Target="https://drive.google.com/open?id=1KP9iYs_bmTOnO6eHfsKQ_a5UxiRhexvm" TargetMode="External"/><Relationship Id="rId34" Type="http://schemas.openxmlformats.org/officeDocument/2006/relationships/hyperlink" Target="https://drive.google.com/open?id=17DlG7WjvUBj4lpSZ2nY7LzJrzn7cZUWY" TargetMode="External"/><Relationship Id="rId78" Type="http://schemas.openxmlformats.org/officeDocument/2006/relationships/hyperlink" Target="https://drive.google.com/file/d/1Xy4-g0PFzELQiEtNbz3QwzVZfU6IgHvE/view?usp=drive_link" TargetMode="External"/><Relationship Id="rId71" Type="http://schemas.openxmlformats.org/officeDocument/2006/relationships/hyperlink" Target="https://drive.google.com/open?id=1XgBRri7OEN4hg1WZw3fnhVhfruEBgLkI" TargetMode="External"/><Relationship Id="rId70" Type="http://schemas.openxmlformats.org/officeDocument/2006/relationships/hyperlink" Target="https://drive.google.com/open?id=10N3N4v4HY8FMKn-j_hUlCLHBT_z07SQp" TargetMode="External"/><Relationship Id="rId37" Type="http://schemas.openxmlformats.org/officeDocument/2006/relationships/hyperlink" Target="https://drive.google.com/open?id=1ucrR6ONI79BmLVJzjWWZTDc-r0kHn1jz" TargetMode="External"/><Relationship Id="rId36" Type="http://schemas.openxmlformats.org/officeDocument/2006/relationships/hyperlink" Target="https://drive.google.com/open?id=1Lj6_WF65X6qdTQmdpdZaQ2pisiravrrp" TargetMode="External"/><Relationship Id="rId39" Type="http://schemas.openxmlformats.org/officeDocument/2006/relationships/hyperlink" Target="https://drive.google.com/open?id=1zEHmYSXs1-kiLkJRV0pv9O3AeT3CpPkQ" TargetMode="External"/><Relationship Id="rId38" Type="http://schemas.openxmlformats.org/officeDocument/2006/relationships/hyperlink" Target="https://drive.google.com/open?id=1oHXG0L1npOdXS45ekFtmwZWJCRoJrjga" TargetMode="External"/><Relationship Id="rId62" Type="http://schemas.openxmlformats.org/officeDocument/2006/relationships/hyperlink" Target="https://drive.google.com/open?id=1l7T7FF_W8AGTquoikuAUktBRe9t-NUvE" TargetMode="External"/><Relationship Id="rId61" Type="http://schemas.openxmlformats.org/officeDocument/2006/relationships/hyperlink" Target="https://drive.google.com/open?id=1KpX50gkMw3hX8rNkk_eWi8y7gr5J4-gv" TargetMode="External"/><Relationship Id="rId20" Type="http://schemas.openxmlformats.org/officeDocument/2006/relationships/hyperlink" Target="https://drive.google.com/open?id=1EwJZSAFHh-OeORxb0ujIk_w3xlY1QTXs" TargetMode="External"/><Relationship Id="rId64" Type="http://schemas.openxmlformats.org/officeDocument/2006/relationships/hyperlink" Target="https://drive.google.com/open?id=1FLDcTDQ9YHe40l7Fea-ddkSkmlIcam_v" TargetMode="External"/><Relationship Id="rId63" Type="http://schemas.openxmlformats.org/officeDocument/2006/relationships/hyperlink" Target="https://drive.google.com/open?id=1-qBsetFHwQLWfVCDb6YKbBvBNvHchyD1" TargetMode="External"/><Relationship Id="rId22" Type="http://schemas.openxmlformats.org/officeDocument/2006/relationships/hyperlink" Target="https://drive.google.com/open?id=1l2hcpFxF0mSe6X6P-AUaITEYPglkDMok" TargetMode="External"/><Relationship Id="rId66" Type="http://schemas.openxmlformats.org/officeDocument/2006/relationships/hyperlink" Target="https://drive.google.com/file/d/12Nw8dGW6M0maMaaIRFjOx2OtX5Pj7sb2/view?usp=sharing" TargetMode="External"/><Relationship Id="rId21" Type="http://schemas.openxmlformats.org/officeDocument/2006/relationships/hyperlink" Target="https://drive.google.com/open?id=1v-iblx-tJ13GavpukVZl6gSVF5KWCqVM" TargetMode="External"/><Relationship Id="rId65" Type="http://schemas.openxmlformats.org/officeDocument/2006/relationships/hyperlink" Target="https://drive.google.com/open?id=1gL4ahQMo9ASX_buIK41x6V1N8yX4bmMf" TargetMode="External"/><Relationship Id="rId24" Type="http://schemas.openxmlformats.org/officeDocument/2006/relationships/hyperlink" Target="https://drive.google.com/open?id=1QbVasbcSXflmw5cbv6k9MvgqvHMyN4iZ" TargetMode="External"/><Relationship Id="rId68" Type="http://schemas.openxmlformats.org/officeDocument/2006/relationships/hyperlink" Target="https://drive.google.com/open?id=1kVFVpfcbG-1sRV_vVInKp5p5mx6C0_nv" TargetMode="External"/><Relationship Id="rId23" Type="http://schemas.openxmlformats.org/officeDocument/2006/relationships/hyperlink" Target="https://drive.google.com/open?id=1hL8YpLtOeASKva-iJOcAfECrWMkiQ2Au" TargetMode="External"/><Relationship Id="rId67" Type="http://schemas.openxmlformats.org/officeDocument/2006/relationships/hyperlink" Target="https://drive.google.com/open?id=1jxgH_qG4baSzYvkBF_xS3CztjrqcYUF_" TargetMode="External"/><Relationship Id="rId60" Type="http://schemas.openxmlformats.org/officeDocument/2006/relationships/hyperlink" Target="https://drive.google.com/open?id=1oCNt5Q7aBydsPWb6CD8ZeUA6oq3ONd_1" TargetMode="External"/><Relationship Id="rId26" Type="http://schemas.openxmlformats.org/officeDocument/2006/relationships/hyperlink" Target="https://drive.google.com/open?id=1ayRKZA-zKdvqlj3qR7urNh8FSZrb44-O" TargetMode="External"/><Relationship Id="rId25" Type="http://schemas.openxmlformats.org/officeDocument/2006/relationships/hyperlink" Target="https://drive.google.com/open?id=1R1dFnyZEtUWetVvvr0EMuv4JrCRlLEBc" TargetMode="External"/><Relationship Id="rId69" Type="http://schemas.openxmlformats.org/officeDocument/2006/relationships/hyperlink" Target="https://drive.google.com/open?id=1cys9yo8zR-3i7g1a_GXaH-w9sWaru2Kl" TargetMode="External"/><Relationship Id="rId28" Type="http://schemas.openxmlformats.org/officeDocument/2006/relationships/hyperlink" Target="https://drive.google.com/open?id=1d3yD5j_Z_-dYNOzOyVGJ4Fhr8WUe7KsU" TargetMode="External"/><Relationship Id="rId27" Type="http://schemas.openxmlformats.org/officeDocument/2006/relationships/hyperlink" Target="https://drive.google.com/open?id=1IN7srQm1mm1ZLzNGXpuHgD5LyOGUgUGG" TargetMode="External"/><Relationship Id="rId29" Type="http://schemas.openxmlformats.org/officeDocument/2006/relationships/hyperlink" Target="https://drive.google.com/open?id=1gQLGh2g52wjy5mGrs9Oph2lWfAoQAaDF" TargetMode="External"/><Relationship Id="rId51" Type="http://schemas.openxmlformats.org/officeDocument/2006/relationships/hyperlink" Target="https://drive.google.com/open?id=1Zd5HGr7FSAD3rSisw4zTE5nRMNx0TE2H" TargetMode="External"/><Relationship Id="rId50" Type="http://schemas.openxmlformats.org/officeDocument/2006/relationships/hyperlink" Target="https://drive.google.com/open?id=1x23B_hzW4RahFhL1AAYNhwKOcVcOu248" TargetMode="External"/><Relationship Id="rId53" Type="http://schemas.openxmlformats.org/officeDocument/2006/relationships/hyperlink" Target="https://drive.google.com/open?id=12EdbBKpoKkV_pbyGmUHoHvhgOXZ2f-NY" TargetMode="External"/><Relationship Id="rId52" Type="http://schemas.openxmlformats.org/officeDocument/2006/relationships/hyperlink" Target="https://drive.google.com/open?id=1vg8YJAYbo06hiH8baz0BlVzvsxyuIS6Y" TargetMode="External"/><Relationship Id="rId11" Type="http://schemas.openxmlformats.org/officeDocument/2006/relationships/hyperlink" Target="https://drive.google.com/open?id=1JCuwDUJ05CYhclAjPZxJN2ra87yxtoXh" TargetMode="External"/><Relationship Id="rId55" Type="http://schemas.openxmlformats.org/officeDocument/2006/relationships/hyperlink" Target="https://drive.google.com/open?id=1M2ARs-_9wMbpqOXBurgzjjt_sNgrZzx6" TargetMode="External"/><Relationship Id="rId10" Type="http://schemas.openxmlformats.org/officeDocument/2006/relationships/hyperlink" Target="https://drive.google.com/open?id=1O03ThP0Nclp6hqVZ_UgMVe9d-YNDhY8o" TargetMode="External"/><Relationship Id="rId54" Type="http://schemas.openxmlformats.org/officeDocument/2006/relationships/hyperlink" Target="https://drive.google.com/open?id=1niNcfdVPxdU4QYE9a5-bxqQB6b0_6bPC" TargetMode="External"/><Relationship Id="rId13" Type="http://schemas.openxmlformats.org/officeDocument/2006/relationships/hyperlink" Target="https://drive.google.com/open?id=1WRz-CHvfwF4lLdR4pdA901p7SOloU-4U" TargetMode="External"/><Relationship Id="rId57" Type="http://schemas.openxmlformats.org/officeDocument/2006/relationships/hyperlink" Target="https://drive.google.com/file/d/1MSAijvVy8xW7Gn62nvyuKssWqNBmeKZS/view?usp=drive_link" TargetMode="External"/><Relationship Id="rId12" Type="http://schemas.openxmlformats.org/officeDocument/2006/relationships/hyperlink" Target="https://drive.google.com/open?id=1ASyRlRQUGBsCFFuVMzwD-l2aPZ7T1O6V" TargetMode="External"/><Relationship Id="rId56" Type="http://schemas.openxmlformats.org/officeDocument/2006/relationships/hyperlink" Target="https://drive.google.com/open?id=1WbbwKnFJ5QtYZkMalF_xDchjt9cH1USI" TargetMode="External"/><Relationship Id="rId15" Type="http://schemas.openxmlformats.org/officeDocument/2006/relationships/hyperlink" Target="https://drive.google.com/open?id=1ntdF1YPsmehEsWLXfVUH9C4Apv76QiGQ" TargetMode="External"/><Relationship Id="rId59" Type="http://schemas.openxmlformats.org/officeDocument/2006/relationships/hyperlink" Target="https://drive.google.com/open?id=1zW7mhoDDqQWVNBWlaNBDJ4YQ7R5WU1XM" TargetMode="External"/><Relationship Id="rId14" Type="http://schemas.openxmlformats.org/officeDocument/2006/relationships/hyperlink" Target="https://drive.google.com/open?id=12uf9EuwqMK0_LErlowUc-jaI2iRDPzNN" TargetMode="External"/><Relationship Id="rId58" Type="http://schemas.openxmlformats.org/officeDocument/2006/relationships/hyperlink" Target="https://drive.google.com/file/d/1n1Z0Td0bW3FehKy19pQ4FWA1fCQRYVkk/view?usp=sharing" TargetMode="External"/><Relationship Id="rId17" Type="http://schemas.openxmlformats.org/officeDocument/2006/relationships/hyperlink" Target="https://drive.google.com/open?id=1ikYbxGBAS9g5rbs1AczOxHORvIAfJuv5" TargetMode="External"/><Relationship Id="rId16" Type="http://schemas.openxmlformats.org/officeDocument/2006/relationships/hyperlink" Target="https://drive.google.com/open?id=1bXLIEYV_-RjWpu6tPgvwGPXpVK-8XWZY" TargetMode="External"/><Relationship Id="rId19" Type="http://schemas.openxmlformats.org/officeDocument/2006/relationships/hyperlink" Target="https://drive.google.com/open?id=1iwe0plVnwycdQnKCVlH-x_BpctP3ft12" TargetMode="External"/><Relationship Id="rId18" Type="http://schemas.openxmlformats.org/officeDocument/2006/relationships/hyperlink" Target="https://drive.google.com/open?id=1AKyVEFGav5AhIM9rHwwwyiozQ0WFhaH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26.5"/>
    <col customWidth="1" min="3" max="4" width="18.88"/>
    <col customWidth="1" min="5" max="5" width="24.63"/>
    <col customWidth="1" min="6" max="6" width="28.88"/>
    <col customWidth="1" min="7" max="7" width="54.25"/>
    <col customWidth="1" min="8" max="8" width="18.88"/>
    <col customWidth="1" min="9" max="9" width="88.13"/>
    <col customWidth="1" min="10" max="10" width="33.63"/>
    <col customWidth="1" min="11" max="12" width="37.63"/>
    <col customWidth="1" min="13" max="18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</row>
    <row r="2" ht="22.5" customHeight="1">
      <c r="A2" s="4">
        <v>46119.30786584491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6">
        <v>6.4560439085E11</v>
      </c>
      <c r="H2" s="7">
        <v>46112.0</v>
      </c>
      <c r="I2" s="8" t="s">
        <v>17</v>
      </c>
      <c r="J2" s="6" t="s">
        <v>18</v>
      </c>
      <c r="K2" s="9"/>
      <c r="L2" s="9"/>
    </row>
    <row r="3" ht="22.5" customHeight="1">
      <c r="A3" s="10">
        <v>46119.31802210648</v>
      </c>
      <c r="B3" s="11" t="s">
        <v>19</v>
      </c>
      <c r="C3" s="11" t="s">
        <v>20</v>
      </c>
      <c r="D3" s="11" t="s">
        <v>21</v>
      </c>
      <c r="E3" s="11" t="s">
        <v>22</v>
      </c>
      <c r="F3" s="11" t="s">
        <v>23</v>
      </c>
      <c r="G3" s="12" t="s">
        <v>24</v>
      </c>
      <c r="H3" s="13">
        <v>46118.0</v>
      </c>
      <c r="I3" s="14" t="s">
        <v>25</v>
      </c>
      <c r="J3" s="12" t="s">
        <v>18</v>
      </c>
      <c r="K3" s="15"/>
      <c r="L3" s="15"/>
    </row>
    <row r="4" ht="22.5" customHeight="1">
      <c r="A4" s="10">
        <v>46119.318733900465</v>
      </c>
      <c r="B4" s="11" t="s">
        <v>26</v>
      </c>
      <c r="C4" s="11" t="s">
        <v>20</v>
      </c>
      <c r="D4" s="11" t="s">
        <v>27</v>
      </c>
      <c r="E4" s="11" t="s">
        <v>15</v>
      </c>
      <c r="F4" s="11" t="s">
        <v>16</v>
      </c>
      <c r="G4" s="12">
        <v>1.09532382872E11</v>
      </c>
      <c r="H4" s="13">
        <v>46117.0</v>
      </c>
      <c r="I4" s="14" t="s">
        <v>28</v>
      </c>
      <c r="J4" s="12" t="s">
        <v>29</v>
      </c>
      <c r="K4" s="12">
        <v>2.0</v>
      </c>
      <c r="L4" s="12">
        <v>1.0</v>
      </c>
    </row>
    <row r="5" ht="22.5" customHeight="1">
      <c r="A5" s="10">
        <v>46119.32686707176</v>
      </c>
      <c r="B5" s="11" t="s">
        <v>30</v>
      </c>
      <c r="C5" s="11" t="s">
        <v>31</v>
      </c>
      <c r="D5" s="11" t="s">
        <v>32</v>
      </c>
      <c r="E5" s="11" t="s">
        <v>15</v>
      </c>
      <c r="F5" s="11" t="s">
        <v>16</v>
      </c>
      <c r="G5" s="12">
        <v>4.6975828395E11</v>
      </c>
      <c r="H5" s="13">
        <v>46112.0</v>
      </c>
      <c r="I5" s="14" t="s">
        <v>33</v>
      </c>
      <c r="J5" s="12" t="s">
        <v>18</v>
      </c>
      <c r="K5" s="15"/>
      <c r="L5" s="15"/>
    </row>
    <row r="6" ht="22.5" customHeight="1">
      <c r="A6" s="10">
        <v>46119.33091837963</v>
      </c>
      <c r="B6" s="11" t="s">
        <v>34</v>
      </c>
      <c r="C6" s="11" t="s">
        <v>35</v>
      </c>
      <c r="D6" s="11" t="s">
        <v>36</v>
      </c>
      <c r="E6" s="11" t="s">
        <v>22</v>
      </c>
      <c r="F6" s="11" t="s">
        <v>23</v>
      </c>
      <c r="G6" s="12">
        <v>6.09520370524E11</v>
      </c>
      <c r="H6" s="13">
        <v>46117.0</v>
      </c>
      <c r="I6" s="14" t="s">
        <v>37</v>
      </c>
      <c r="J6" s="12" t="s">
        <v>18</v>
      </c>
      <c r="K6" s="15"/>
      <c r="L6" s="15"/>
    </row>
    <row r="7" ht="22.5" customHeight="1">
      <c r="A7" s="10">
        <v>46119.36468480324</v>
      </c>
      <c r="B7" s="11" t="s">
        <v>38</v>
      </c>
      <c r="C7" s="11" t="s">
        <v>20</v>
      </c>
      <c r="D7" s="11" t="s">
        <v>39</v>
      </c>
      <c r="E7" s="11" t="s">
        <v>15</v>
      </c>
      <c r="F7" s="11" t="s">
        <v>16</v>
      </c>
      <c r="G7" s="12" t="s">
        <v>40</v>
      </c>
      <c r="H7" s="13">
        <v>46112.0</v>
      </c>
      <c r="I7" s="14" t="s">
        <v>41</v>
      </c>
      <c r="J7" s="12" t="s">
        <v>18</v>
      </c>
      <c r="K7" s="15"/>
      <c r="L7" s="15"/>
    </row>
    <row r="8" ht="22.5" customHeight="1">
      <c r="A8" s="10">
        <v>46119.41492837963</v>
      </c>
      <c r="B8" s="11" t="s">
        <v>42</v>
      </c>
      <c r="C8" s="11" t="s">
        <v>43</v>
      </c>
      <c r="D8" s="11" t="s">
        <v>44</v>
      </c>
      <c r="E8" s="11" t="s">
        <v>15</v>
      </c>
      <c r="F8" s="11" t="s">
        <v>16</v>
      </c>
      <c r="G8" s="12">
        <v>9.663949596E9</v>
      </c>
      <c r="H8" s="13">
        <v>46112.0</v>
      </c>
      <c r="I8" s="14" t="s">
        <v>45</v>
      </c>
      <c r="J8" s="12" t="s">
        <v>18</v>
      </c>
      <c r="K8" s="15"/>
      <c r="L8" s="15"/>
    </row>
    <row r="9" ht="22.5" customHeight="1">
      <c r="A9" s="10">
        <v>46119.48223553241</v>
      </c>
      <c r="B9" s="11" t="s">
        <v>46</v>
      </c>
      <c r="C9" s="11" t="s">
        <v>31</v>
      </c>
      <c r="D9" s="11" t="s">
        <v>47</v>
      </c>
      <c r="E9" s="11" t="s">
        <v>15</v>
      </c>
      <c r="F9" s="11" t="s">
        <v>16</v>
      </c>
      <c r="G9" s="12">
        <v>3.99889258845E11</v>
      </c>
      <c r="H9" s="13">
        <v>46112.0</v>
      </c>
      <c r="J9" s="12" t="s">
        <v>18</v>
      </c>
      <c r="K9" s="15"/>
      <c r="L9" s="15"/>
    </row>
    <row r="10" ht="22.5" customHeight="1">
      <c r="A10" s="10">
        <v>46119.48868108796</v>
      </c>
      <c r="B10" s="11" t="s">
        <v>48</v>
      </c>
      <c r="C10" s="11" t="s">
        <v>13</v>
      </c>
      <c r="D10" s="11" t="s">
        <v>49</v>
      </c>
      <c r="E10" s="11" t="s">
        <v>15</v>
      </c>
      <c r="F10" s="11" t="s">
        <v>16</v>
      </c>
      <c r="G10" s="12">
        <v>6.45685988621E11</v>
      </c>
      <c r="H10" s="13">
        <v>46112.0</v>
      </c>
      <c r="I10" s="14" t="s">
        <v>50</v>
      </c>
      <c r="J10" s="12" t="s">
        <v>18</v>
      </c>
      <c r="K10" s="15"/>
      <c r="L10" s="15"/>
    </row>
    <row r="11" ht="22.5" customHeight="1">
      <c r="A11" s="10">
        <v>46119.503524687505</v>
      </c>
      <c r="B11" s="11" t="s">
        <v>51</v>
      </c>
      <c r="C11" s="11" t="s">
        <v>20</v>
      </c>
      <c r="D11" s="11" t="s">
        <v>52</v>
      </c>
      <c r="E11" s="11" t="s">
        <v>15</v>
      </c>
      <c r="F11" s="11" t="s">
        <v>16</v>
      </c>
      <c r="G11" s="12">
        <v>6.09177439221E11</v>
      </c>
      <c r="H11" s="13">
        <v>46113.0</v>
      </c>
      <c r="I11" s="14" t="s">
        <v>53</v>
      </c>
      <c r="J11" s="12" t="s">
        <v>18</v>
      </c>
      <c r="K11" s="15"/>
      <c r="L11" s="15"/>
    </row>
    <row r="12" ht="22.5" customHeight="1">
      <c r="A12" s="10">
        <v>46119.759473576385</v>
      </c>
      <c r="B12" s="11" t="s">
        <v>54</v>
      </c>
      <c r="C12" s="11" t="s">
        <v>13</v>
      </c>
      <c r="D12" s="11" t="s">
        <v>55</v>
      </c>
      <c r="E12" s="11" t="s">
        <v>15</v>
      </c>
      <c r="F12" s="11" t="s">
        <v>16</v>
      </c>
      <c r="G12" s="12">
        <v>5.57671101594E11</v>
      </c>
      <c r="H12" s="13">
        <v>46146.0</v>
      </c>
      <c r="I12" s="14" t="s">
        <v>56</v>
      </c>
      <c r="J12" s="12" t="s">
        <v>18</v>
      </c>
      <c r="K12" s="15"/>
      <c r="L12" s="15"/>
    </row>
    <row r="13" ht="22.5" customHeight="1">
      <c r="A13" s="10">
        <v>46119.815317256944</v>
      </c>
      <c r="B13" s="11" t="s">
        <v>57</v>
      </c>
      <c r="C13" s="11" t="s">
        <v>20</v>
      </c>
      <c r="D13" s="11" t="s">
        <v>58</v>
      </c>
      <c r="E13" s="11" t="s">
        <v>22</v>
      </c>
      <c r="F13" s="11" t="s">
        <v>16</v>
      </c>
      <c r="G13" s="12" t="s">
        <v>59</v>
      </c>
      <c r="H13" s="13">
        <v>46119.0</v>
      </c>
      <c r="I13" s="16" t="s">
        <v>60</v>
      </c>
      <c r="J13" s="12" t="s">
        <v>18</v>
      </c>
      <c r="K13" s="15"/>
      <c r="L13" s="15"/>
    </row>
    <row r="14" ht="22.5" customHeight="1">
      <c r="A14" s="10">
        <v>46119.86923539352</v>
      </c>
      <c r="B14" s="11" t="s">
        <v>61</v>
      </c>
      <c r="C14" s="11" t="s">
        <v>43</v>
      </c>
      <c r="D14" s="11" t="s">
        <v>62</v>
      </c>
      <c r="E14" s="11" t="s">
        <v>15</v>
      </c>
      <c r="F14" s="11" t="s">
        <v>16</v>
      </c>
      <c r="G14" s="12">
        <v>2.40073354415E11</v>
      </c>
      <c r="H14" s="13">
        <v>46114.0</v>
      </c>
      <c r="I14" s="14" t="s">
        <v>63</v>
      </c>
      <c r="J14" s="12" t="s">
        <v>18</v>
      </c>
      <c r="K14" s="15"/>
      <c r="L14" s="15"/>
    </row>
    <row r="15" ht="22.5" customHeight="1">
      <c r="A15" s="10">
        <v>46119.89763850694</v>
      </c>
      <c r="B15" s="11" t="s">
        <v>64</v>
      </c>
      <c r="C15" s="11" t="s">
        <v>20</v>
      </c>
      <c r="D15" s="11" t="s">
        <v>65</v>
      </c>
      <c r="E15" s="11" t="s">
        <v>66</v>
      </c>
      <c r="F15" s="11" t="s">
        <v>16</v>
      </c>
      <c r="G15" s="12" t="s">
        <v>67</v>
      </c>
      <c r="H15" s="13">
        <v>46119.0</v>
      </c>
      <c r="I15" s="14" t="s">
        <v>68</v>
      </c>
      <c r="J15" s="12" t="s">
        <v>29</v>
      </c>
      <c r="K15" s="12">
        <v>2.0</v>
      </c>
      <c r="L15" s="12">
        <v>2.0</v>
      </c>
    </row>
    <row r="16" ht="22.5" customHeight="1">
      <c r="A16" s="10">
        <v>46119.9159009838</v>
      </c>
      <c r="B16" s="11" t="s">
        <v>69</v>
      </c>
      <c r="C16" s="11" t="s">
        <v>13</v>
      </c>
      <c r="D16" s="11" t="s">
        <v>70</v>
      </c>
      <c r="E16" s="11" t="s">
        <v>15</v>
      </c>
      <c r="F16" s="11" t="s">
        <v>16</v>
      </c>
      <c r="G16" s="12" t="s">
        <v>71</v>
      </c>
      <c r="H16" s="13">
        <v>46113.0</v>
      </c>
      <c r="I16" s="14" t="s">
        <v>72</v>
      </c>
      <c r="J16" s="12" t="s">
        <v>18</v>
      </c>
      <c r="K16" s="15"/>
      <c r="L16" s="15"/>
    </row>
    <row r="17" ht="22.5" customHeight="1">
      <c r="A17" s="10">
        <v>46120.32073651621</v>
      </c>
      <c r="B17" s="11" t="s">
        <v>73</v>
      </c>
      <c r="C17" s="11" t="s">
        <v>20</v>
      </c>
      <c r="D17" s="11" t="s">
        <v>74</v>
      </c>
      <c r="E17" s="11" t="s">
        <v>22</v>
      </c>
      <c r="F17" s="11" t="s">
        <v>16</v>
      </c>
      <c r="G17" s="12">
        <v>6.0981575785E11</v>
      </c>
      <c r="H17" s="13">
        <v>46120.0</v>
      </c>
      <c r="I17" s="14" t="s">
        <v>75</v>
      </c>
      <c r="J17" s="12" t="s">
        <v>18</v>
      </c>
      <c r="K17" s="15"/>
      <c r="L17" s="15"/>
    </row>
    <row r="18" ht="22.5" customHeight="1">
      <c r="A18" s="10">
        <v>46120.36411605324</v>
      </c>
      <c r="B18" s="11" t="s">
        <v>76</v>
      </c>
      <c r="C18" s="11" t="s">
        <v>13</v>
      </c>
      <c r="D18" s="11" t="s">
        <v>77</v>
      </c>
      <c r="E18" s="11" t="s">
        <v>15</v>
      </c>
      <c r="F18" s="11" t="s">
        <v>16</v>
      </c>
      <c r="G18" s="12">
        <v>6.09898110615E11</v>
      </c>
      <c r="H18" s="13">
        <v>46120.0</v>
      </c>
      <c r="I18" s="14" t="s">
        <v>78</v>
      </c>
      <c r="J18" s="12" t="s">
        <v>18</v>
      </c>
      <c r="K18" s="15"/>
      <c r="L18" s="15"/>
    </row>
    <row r="19" ht="22.5" customHeight="1">
      <c r="A19" s="10">
        <v>46120.566038379635</v>
      </c>
      <c r="B19" s="11" t="s">
        <v>79</v>
      </c>
      <c r="C19" s="11" t="s">
        <v>43</v>
      </c>
      <c r="D19" s="11" t="s">
        <v>80</v>
      </c>
      <c r="E19" s="11" t="s">
        <v>81</v>
      </c>
      <c r="F19" s="11" t="s">
        <v>16</v>
      </c>
      <c r="G19" s="12">
        <v>6.46420590245E11</v>
      </c>
      <c r="H19" s="13">
        <v>46120.0</v>
      </c>
      <c r="I19" s="14" t="s">
        <v>82</v>
      </c>
      <c r="J19" s="12" t="s">
        <v>18</v>
      </c>
      <c r="K19" s="15"/>
      <c r="L19" s="15"/>
    </row>
    <row r="20" ht="22.5" customHeight="1">
      <c r="A20" s="10">
        <v>46120.70691501157</v>
      </c>
      <c r="B20" s="11" t="s">
        <v>83</v>
      </c>
      <c r="C20" s="11" t="s">
        <v>20</v>
      </c>
      <c r="D20" s="11" t="s">
        <v>84</v>
      </c>
      <c r="E20" s="11" t="s">
        <v>15</v>
      </c>
      <c r="F20" s="11" t="s">
        <v>16</v>
      </c>
      <c r="G20" s="12">
        <v>6.09107199691E11</v>
      </c>
      <c r="H20" s="13">
        <v>46113.0</v>
      </c>
      <c r="I20" s="14" t="s">
        <v>85</v>
      </c>
      <c r="J20" s="12" t="s">
        <v>18</v>
      </c>
      <c r="K20" s="15"/>
      <c r="L20" s="15"/>
    </row>
    <row r="21" ht="22.5" customHeight="1">
      <c r="A21" s="10">
        <v>46122.60807974537</v>
      </c>
      <c r="B21" s="11" t="s">
        <v>86</v>
      </c>
      <c r="C21" s="11" t="s">
        <v>35</v>
      </c>
      <c r="D21" s="11" t="s">
        <v>87</v>
      </c>
      <c r="E21" s="11" t="s">
        <v>81</v>
      </c>
      <c r="F21" s="11" t="s">
        <v>23</v>
      </c>
      <c r="G21" s="12" t="s">
        <v>88</v>
      </c>
      <c r="H21" s="13">
        <v>46122.0</v>
      </c>
      <c r="I21" s="14" t="s">
        <v>89</v>
      </c>
      <c r="J21" s="12" t="s">
        <v>29</v>
      </c>
      <c r="K21" s="12">
        <v>1.0</v>
      </c>
      <c r="L21" s="12">
        <v>0.0</v>
      </c>
    </row>
    <row r="22" ht="22.5" customHeight="1">
      <c r="A22" s="10">
        <v>46122.689829849536</v>
      </c>
      <c r="B22" s="11" t="s">
        <v>90</v>
      </c>
      <c r="C22" s="11" t="s">
        <v>35</v>
      </c>
      <c r="D22" s="11" t="s">
        <v>91</v>
      </c>
      <c r="E22" s="11" t="s">
        <v>81</v>
      </c>
      <c r="F22" s="11" t="s">
        <v>16</v>
      </c>
      <c r="G22" s="12" t="s">
        <v>92</v>
      </c>
      <c r="H22" s="13">
        <v>46122.0</v>
      </c>
      <c r="I22" s="14" t="s">
        <v>93</v>
      </c>
      <c r="J22" s="12" t="s">
        <v>18</v>
      </c>
      <c r="K22" s="15"/>
      <c r="L22" s="15"/>
    </row>
    <row r="23" ht="22.5" customHeight="1">
      <c r="A23" s="10">
        <v>46122.69835585648</v>
      </c>
      <c r="B23" s="11" t="s">
        <v>94</v>
      </c>
      <c r="C23" s="11" t="s">
        <v>43</v>
      </c>
      <c r="D23" s="11" t="s">
        <v>95</v>
      </c>
      <c r="E23" s="11" t="s">
        <v>81</v>
      </c>
      <c r="F23" s="11" t="s">
        <v>16</v>
      </c>
      <c r="G23" s="12">
        <v>6.10074161045E11</v>
      </c>
      <c r="H23" s="13">
        <v>46122.0</v>
      </c>
      <c r="I23" s="14" t="s">
        <v>96</v>
      </c>
      <c r="J23" s="12" t="s">
        <v>18</v>
      </c>
      <c r="K23" s="15"/>
      <c r="L23" s="15"/>
    </row>
    <row r="24" ht="22.5" customHeight="1">
      <c r="A24" s="10">
        <v>46122.70338777778</v>
      </c>
      <c r="B24" s="11" t="s">
        <v>97</v>
      </c>
      <c r="C24" s="11" t="s">
        <v>20</v>
      </c>
      <c r="D24" s="11" t="s">
        <v>98</v>
      </c>
      <c r="E24" s="11" t="s">
        <v>81</v>
      </c>
      <c r="F24" s="11" t="s">
        <v>23</v>
      </c>
      <c r="G24" s="12" t="s">
        <v>99</v>
      </c>
      <c r="H24" s="13">
        <v>46120.0</v>
      </c>
      <c r="I24" s="14" t="s">
        <v>100</v>
      </c>
      <c r="J24" s="12" t="s">
        <v>18</v>
      </c>
      <c r="K24" s="15"/>
      <c r="L24" s="15"/>
    </row>
    <row r="25" ht="22.5" customHeight="1">
      <c r="A25" s="10">
        <v>46122.82222076389</v>
      </c>
      <c r="B25" s="11" t="s">
        <v>101</v>
      </c>
      <c r="C25" s="11" t="s">
        <v>20</v>
      </c>
      <c r="D25" s="11" t="s">
        <v>102</v>
      </c>
      <c r="E25" s="11" t="s">
        <v>15</v>
      </c>
      <c r="F25" s="11" t="s">
        <v>16</v>
      </c>
      <c r="G25" s="12">
        <v>6.45792612675E11</v>
      </c>
      <c r="H25" s="13">
        <v>46113.0</v>
      </c>
      <c r="I25" s="14" t="s">
        <v>103</v>
      </c>
      <c r="J25" s="12" t="s">
        <v>18</v>
      </c>
      <c r="K25" s="15"/>
      <c r="L25" s="15"/>
    </row>
    <row r="26" ht="22.5" customHeight="1">
      <c r="A26" s="10">
        <v>46122.943776562504</v>
      </c>
      <c r="B26" s="11" t="s">
        <v>104</v>
      </c>
      <c r="C26" s="11" t="s">
        <v>20</v>
      </c>
      <c r="D26" s="11" t="s">
        <v>105</v>
      </c>
      <c r="E26" s="11" t="s">
        <v>81</v>
      </c>
      <c r="F26" s="11" t="s">
        <v>16</v>
      </c>
      <c r="G26" s="12">
        <v>6.10091838073E11</v>
      </c>
      <c r="H26" s="13">
        <v>46122.0</v>
      </c>
      <c r="I26" s="14" t="s">
        <v>106</v>
      </c>
      <c r="J26" s="12" t="s">
        <v>18</v>
      </c>
      <c r="K26" s="15"/>
      <c r="L26" s="15"/>
    </row>
    <row r="27" ht="22.5" customHeight="1">
      <c r="A27" s="10">
        <v>46123.37534483796</v>
      </c>
      <c r="B27" s="11" t="s">
        <v>107</v>
      </c>
      <c r="C27" s="11" t="s">
        <v>31</v>
      </c>
      <c r="D27" s="11" t="s">
        <v>108</v>
      </c>
      <c r="E27" s="11" t="s">
        <v>66</v>
      </c>
      <c r="F27" s="11" t="s">
        <v>16</v>
      </c>
      <c r="G27" s="12" t="s">
        <v>109</v>
      </c>
      <c r="H27" s="13">
        <v>46112.0</v>
      </c>
      <c r="I27" s="14" t="s">
        <v>110</v>
      </c>
      <c r="J27" s="12" t="s">
        <v>29</v>
      </c>
      <c r="K27" s="12">
        <v>2.0</v>
      </c>
      <c r="L27" s="12">
        <v>1.0</v>
      </c>
    </row>
    <row r="28" ht="22.5" customHeight="1">
      <c r="A28" s="10">
        <v>46123.39572207176</v>
      </c>
      <c r="B28" s="11" t="s">
        <v>111</v>
      </c>
      <c r="C28" s="11" t="s">
        <v>43</v>
      </c>
      <c r="E28" s="11" t="s">
        <v>81</v>
      </c>
      <c r="F28" s="11" t="s">
        <v>16</v>
      </c>
      <c r="G28" s="12">
        <v>1.09575771216E11</v>
      </c>
      <c r="H28" s="13">
        <v>46123.0</v>
      </c>
      <c r="I28" s="14" t="s">
        <v>112</v>
      </c>
      <c r="J28" s="12" t="s">
        <v>18</v>
      </c>
      <c r="K28" s="15"/>
      <c r="L28" s="15"/>
    </row>
    <row r="29" ht="22.5" customHeight="1">
      <c r="A29" s="10">
        <v>46123.43314010417</v>
      </c>
      <c r="B29" s="11" t="s">
        <v>113</v>
      </c>
      <c r="C29" s="11" t="s">
        <v>31</v>
      </c>
      <c r="D29" s="11" t="s">
        <v>114</v>
      </c>
      <c r="E29" s="11" t="s">
        <v>81</v>
      </c>
      <c r="F29" s="11" t="s">
        <v>16</v>
      </c>
      <c r="G29" s="12" t="s">
        <v>115</v>
      </c>
      <c r="H29" s="13">
        <v>46123.0</v>
      </c>
      <c r="I29" s="14" t="s">
        <v>116</v>
      </c>
      <c r="J29" s="12" t="s">
        <v>18</v>
      </c>
      <c r="K29" s="15"/>
      <c r="L29" s="15"/>
    </row>
    <row r="30" ht="22.5" customHeight="1">
      <c r="A30" s="10">
        <v>46123.503269733796</v>
      </c>
      <c r="B30" s="11" t="s">
        <v>117</v>
      </c>
      <c r="C30" s="11" t="s">
        <v>31</v>
      </c>
      <c r="D30" s="11" t="s">
        <v>118</v>
      </c>
      <c r="E30" s="11" t="s">
        <v>81</v>
      </c>
      <c r="F30" s="11" t="s">
        <v>16</v>
      </c>
      <c r="G30" s="12" t="s">
        <v>119</v>
      </c>
      <c r="H30" s="13">
        <v>46123.0</v>
      </c>
      <c r="I30" s="14" t="s">
        <v>120</v>
      </c>
      <c r="J30" s="12" t="s">
        <v>18</v>
      </c>
      <c r="K30" s="15"/>
      <c r="L30" s="15"/>
    </row>
    <row r="31" ht="22.5" customHeight="1">
      <c r="A31" s="10">
        <v>46123.530307152774</v>
      </c>
      <c r="B31" s="11" t="s">
        <v>121</v>
      </c>
      <c r="C31" s="11" t="s">
        <v>20</v>
      </c>
      <c r="D31" s="11" t="s">
        <v>122</v>
      </c>
      <c r="E31" s="11" t="s">
        <v>15</v>
      </c>
      <c r="F31" s="11" t="s">
        <v>16</v>
      </c>
      <c r="G31" s="12">
        <v>6.45728215233E11</v>
      </c>
      <c r="H31" s="13">
        <v>46113.0</v>
      </c>
      <c r="I31" s="14" t="s">
        <v>123</v>
      </c>
      <c r="J31" s="12" t="s">
        <v>18</v>
      </c>
      <c r="K31" s="15"/>
      <c r="L31" s="15"/>
    </row>
    <row r="32" ht="22.5" customHeight="1">
      <c r="A32" s="10">
        <v>46123.604915937496</v>
      </c>
      <c r="B32" s="11" t="s">
        <v>124</v>
      </c>
      <c r="C32" s="11" t="s">
        <v>31</v>
      </c>
      <c r="D32" s="11" t="s">
        <v>125</v>
      </c>
      <c r="E32" s="11" t="s">
        <v>81</v>
      </c>
      <c r="F32" s="11" t="s">
        <v>16</v>
      </c>
      <c r="G32" s="12">
        <v>6.10134712444E11</v>
      </c>
      <c r="H32" s="13">
        <v>46123.0</v>
      </c>
      <c r="I32" s="14" t="s">
        <v>126</v>
      </c>
      <c r="J32" s="12" t="s">
        <v>18</v>
      </c>
      <c r="K32" s="15"/>
      <c r="L32" s="15"/>
    </row>
    <row r="33" ht="22.5" customHeight="1">
      <c r="A33" s="10">
        <v>46123.611160706016</v>
      </c>
      <c r="B33" s="11" t="s">
        <v>127</v>
      </c>
      <c r="C33" s="11" t="s">
        <v>13</v>
      </c>
      <c r="D33" s="11" t="s">
        <v>128</v>
      </c>
      <c r="E33" s="11" t="s">
        <v>15</v>
      </c>
      <c r="F33" s="11" t="s">
        <v>16</v>
      </c>
      <c r="G33" s="12" t="s">
        <v>129</v>
      </c>
      <c r="H33" s="13">
        <v>46113.0</v>
      </c>
      <c r="I33" s="14" t="s">
        <v>130</v>
      </c>
      <c r="J33" s="12" t="s">
        <v>18</v>
      </c>
      <c r="K33" s="15"/>
      <c r="L33" s="15"/>
    </row>
    <row r="34" ht="22.5" customHeight="1">
      <c r="A34" s="10">
        <v>46125.604423425924</v>
      </c>
      <c r="B34" s="11" t="s">
        <v>131</v>
      </c>
      <c r="C34" s="11" t="s">
        <v>13</v>
      </c>
      <c r="D34" s="11" t="s">
        <v>132</v>
      </c>
      <c r="E34" s="11" t="s">
        <v>15</v>
      </c>
      <c r="F34" s="11" t="s">
        <v>23</v>
      </c>
      <c r="G34" s="12" t="s">
        <v>133</v>
      </c>
      <c r="H34" s="13">
        <v>46115.0</v>
      </c>
      <c r="I34" s="14" t="s">
        <v>134</v>
      </c>
      <c r="J34" s="12" t="s">
        <v>29</v>
      </c>
      <c r="K34" s="12">
        <v>3.0</v>
      </c>
      <c r="L34" s="12">
        <v>1.0</v>
      </c>
    </row>
    <row r="35" ht="22.5" customHeight="1">
      <c r="A35" s="10">
        <v>46126.570313344906</v>
      </c>
      <c r="B35" s="11" t="s">
        <v>135</v>
      </c>
      <c r="C35" s="11" t="s">
        <v>35</v>
      </c>
      <c r="D35" s="11" t="s">
        <v>136</v>
      </c>
      <c r="E35" s="11" t="s">
        <v>81</v>
      </c>
      <c r="F35" s="11" t="s">
        <v>16</v>
      </c>
      <c r="G35" s="12" t="s">
        <v>137</v>
      </c>
      <c r="H35" s="13">
        <v>46126.0</v>
      </c>
      <c r="I35" s="14" t="s">
        <v>138</v>
      </c>
      <c r="J35" s="12" t="s">
        <v>18</v>
      </c>
      <c r="K35" s="15"/>
      <c r="L35" s="15"/>
    </row>
    <row r="36" ht="22.5" customHeight="1">
      <c r="A36" s="10">
        <v>46126.62521864583</v>
      </c>
      <c r="B36" s="11" t="s">
        <v>139</v>
      </c>
      <c r="C36" s="11" t="s">
        <v>35</v>
      </c>
      <c r="D36" s="11" t="s">
        <v>140</v>
      </c>
      <c r="E36" s="11" t="s">
        <v>15</v>
      </c>
      <c r="F36" s="11" t="s">
        <v>16</v>
      </c>
      <c r="G36" s="12">
        <v>6.09939147031E11</v>
      </c>
      <c r="H36" s="13">
        <v>46121.0</v>
      </c>
      <c r="I36" s="14" t="s">
        <v>141</v>
      </c>
      <c r="J36" s="12" t="s">
        <v>18</v>
      </c>
      <c r="K36" s="15"/>
      <c r="L36" s="15"/>
    </row>
    <row r="37" ht="22.5" customHeight="1">
      <c r="A37" s="10">
        <v>46127.10009869213</v>
      </c>
      <c r="B37" s="11" t="s">
        <v>142</v>
      </c>
      <c r="C37" s="11" t="s">
        <v>13</v>
      </c>
      <c r="D37" s="11" t="s">
        <v>143</v>
      </c>
      <c r="E37" s="11" t="s">
        <v>81</v>
      </c>
      <c r="F37" s="11" t="s">
        <v>23</v>
      </c>
      <c r="G37" s="12" t="s">
        <v>144</v>
      </c>
      <c r="H37" s="13">
        <v>46127.0</v>
      </c>
      <c r="I37" s="14" t="s">
        <v>145</v>
      </c>
      <c r="J37" s="12" t="s">
        <v>18</v>
      </c>
      <c r="K37" s="15"/>
      <c r="L37" s="15"/>
    </row>
    <row r="38" ht="22.5" customHeight="1">
      <c r="A38" s="10">
        <v>46127.43970534722</v>
      </c>
      <c r="B38" s="11" t="s">
        <v>146</v>
      </c>
      <c r="C38" s="11" t="s">
        <v>31</v>
      </c>
      <c r="D38" s="11" t="s">
        <v>147</v>
      </c>
      <c r="E38" s="11" t="s">
        <v>81</v>
      </c>
      <c r="F38" s="11" t="s">
        <v>16</v>
      </c>
      <c r="G38" s="12">
        <v>6.31588452675E11</v>
      </c>
      <c r="H38" s="13">
        <v>46127.0</v>
      </c>
      <c r="I38" s="14" t="s">
        <v>148</v>
      </c>
      <c r="J38" s="12" t="s">
        <v>18</v>
      </c>
      <c r="K38" s="15"/>
      <c r="L38" s="15"/>
    </row>
    <row r="39" ht="22.5" customHeight="1">
      <c r="A39" s="10">
        <v>46127.740088923616</v>
      </c>
      <c r="B39" s="11" t="s">
        <v>149</v>
      </c>
      <c r="C39" s="11" t="s">
        <v>13</v>
      </c>
      <c r="D39" s="11" t="s">
        <v>150</v>
      </c>
      <c r="E39" s="11" t="s">
        <v>81</v>
      </c>
      <c r="F39" s="11" t="s">
        <v>16</v>
      </c>
      <c r="G39" s="12" t="s">
        <v>151</v>
      </c>
      <c r="H39" s="13">
        <v>46127.0</v>
      </c>
      <c r="I39" s="11" t="s">
        <v>152</v>
      </c>
      <c r="J39" s="12" t="s">
        <v>18</v>
      </c>
      <c r="K39" s="15"/>
      <c r="L39" s="15"/>
    </row>
    <row r="40" ht="22.5" customHeight="1">
      <c r="A40" s="10">
        <v>46127.92877938657</v>
      </c>
      <c r="B40" s="11" t="s">
        <v>153</v>
      </c>
      <c r="C40" s="11" t="s">
        <v>13</v>
      </c>
      <c r="D40" s="11" t="s">
        <v>154</v>
      </c>
      <c r="E40" s="11" t="s">
        <v>155</v>
      </c>
      <c r="F40" s="11" t="s">
        <v>16</v>
      </c>
      <c r="G40" s="12" t="s">
        <v>156</v>
      </c>
      <c r="H40" s="13">
        <v>46127.0</v>
      </c>
      <c r="I40" s="17" t="s">
        <v>157</v>
      </c>
      <c r="J40" s="12" t="s">
        <v>29</v>
      </c>
      <c r="K40" s="12">
        <v>2.0</v>
      </c>
      <c r="L40" s="12">
        <v>1.0</v>
      </c>
    </row>
    <row r="41" ht="22.5" customHeight="1">
      <c r="A41" s="10">
        <v>46128.31575797454</v>
      </c>
      <c r="B41" s="11" t="s">
        <v>158</v>
      </c>
      <c r="C41" s="11" t="s">
        <v>13</v>
      </c>
      <c r="D41" s="11" t="s">
        <v>159</v>
      </c>
      <c r="E41" s="11" t="s">
        <v>81</v>
      </c>
      <c r="F41" s="11" t="s">
        <v>23</v>
      </c>
      <c r="G41" s="12">
        <v>6.10649253988E11</v>
      </c>
      <c r="H41" s="13">
        <v>46128.0</v>
      </c>
      <c r="I41" s="14" t="s">
        <v>160</v>
      </c>
      <c r="J41" s="12" t="s">
        <v>18</v>
      </c>
      <c r="K41" s="15"/>
      <c r="L41" s="15"/>
    </row>
    <row r="42" ht="22.5" customHeight="1">
      <c r="A42" s="10">
        <v>46128.498928263885</v>
      </c>
      <c r="B42" s="11" t="s">
        <v>161</v>
      </c>
      <c r="C42" s="11" t="s">
        <v>43</v>
      </c>
      <c r="D42" s="11" t="s">
        <v>162</v>
      </c>
      <c r="E42" s="11" t="s">
        <v>81</v>
      </c>
      <c r="F42" s="11" t="s">
        <v>16</v>
      </c>
      <c r="G42" s="12" t="s">
        <v>163</v>
      </c>
      <c r="H42" s="13">
        <v>46128.0</v>
      </c>
      <c r="I42" s="14" t="s">
        <v>164</v>
      </c>
      <c r="J42" s="12" t="s">
        <v>18</v>
      </c>
      <c r="K42" s="15"/>
      <c r="L42" s="15"/>
    </row>
    <row r="43" ht="22.5" customHeight="1">
      <c r="A43" s="10">
        <v>46128.51193354167</v>
      </c>
      <c r="B43" s="11" t="s">
        <v>165</v>
      </c>
      <c r="C43" s="11" t="s">
        <v>20</v>
      </c>
      <c r="D43" s="11" t="s">
        <v>166</v>
      </c>
      <c r="E43" s="11" t="s">
        <v>15</v>
      </c>
      <c r="F43" s="11" t="s">
        <v>23</v>
      </c>
      <c r="G43" s="12" t="s">
        <v>167</v>
      </c>
      <c r="H43" s="13">
        <v>46128.0</v>
      </c>
      <c r="I43" s="14" t="s">
        <v>168</v>
      </c>
      <c r="J43" s="12" t="s">
        <v>29</v>
      </c>
      <c r="K43" s="12">
        <v>2.0</v>
      </c>
      <c r="L43" s="12">
        <v>1.0</v>
      </c>
    </row>
    <row r="44" ht="22.5" customHeight="1">
      <c r="A44" s="10">
        <v>46129.88254835648</v>
      </c>
      <c r="B44" s="11" t="s">
        <v>169</v>
      </c>
      <c r="C44" s="11" t="s">
        <v>31</v>
      </c>
      <c r="D44" s="11" t="s">
        <v>170</v>
      </c>
      <c r="E44" s="11" t="s">
        <v>15</v>
      </c>
      <c r="F44" s="11" t="s">
        <v>171</v>
      </c>
      <c r="G44" s="12">
        <v>5.10461855439E11</v>
      </c>
      <c r="H44" s="13">
        <v>46113.0</v>
      </c>
      <c r="I44" s="14" t="s">
        <v>172</v>
      </c>
      <c r="J44" s="12" t="s">
        <v>29</v>
      </c>
      <c r="K44" s="12">
        <v>2.0</v>
      </c>
      <c r="L44" s="12">
        <v>0.0</v>
      </c>
    </row>
    <row r="45" ht="22.5" customHeight="1">
      <c r="A45" s="10">
        <v>46129.997438125</v>
      </c>
      <c r="B45" s="11" t="s">
        <v>173</v>
      </c>
      <c r="C45" s="11" t="s">
        <v>31</v>
      </c>
      <c r="D45" s="11" t="s">
        <v>174</v>
      </c>
      <c r="E45" s="11" t="s">
        <v>81</v>
      </c>
      <c r="F45" s="11" t="s">
        <v>16</v>
      </c>
      <c r="G45" s="12">
        <v>6.10761784272E11</v>
      </c>
      <c r="H45" s="13">
        <v>46129.0</v>
      </c>
      <c r="I45" s="14" t="s">
        <v>175</v>
      </c>
      <c r="J45" s="15"/>
      <c r="K45" s="12">
        <v>2.0</v>
      </c>
      <c r="L45" s="12">
        <v>2.0</v>
      </c>
    </row>
    <row r="46" ht="22.5" customHeight="1">
      <c r="A46" s="10">
        <v>46130.35595805556</v>
      </c>
      <c r="B46" s="11" t="s">
        <v>176</v>
      </c>
      <c r="C46" s="11" t="s">
        <v>31</v>
      </c>
      <c r="D46" s="11" t="s">
        <v>177</v>
      </c>
      <c r="E46" s="11" t="s">
        <v>15</v>
      </c>
      <c r="F46" s="11" t="s">
        <v>16</v>
      </c>
      <c r="G46" s="12">
        <v>1.111111111111E12</v>
      </c>
      <c r="H46" s="13">
        <v>46026.0</v>
      </c>
      <c r="I46" s="14" t="s">
        <v>178</v>
      </c>
      <c r="J46" s="12" t="s">
        <v>29</v>
      </c>
      <c r="K46" s="12">
        <v>2.0</v>
      </c>
      <c r="L46" s="12">
        <v>0.0</v>
      </c>
    </row>
    <row r="47" ht="22.5" customHeight="1">
      <c r="A47" s="10">
        <v>46131.87431050926</v>
      </c>
      <c r="B47" s="11" t="s">
        <v>179</v>
      </c>
      <c r="C47" s="11" t="s">
        <v>13</v>
      </c>
      <c r="E47" s="11" t="s">
        <v>81</v>
      </c>
      <c r="F47" s="11" t="s">
        <v>23</v>
      </c>
      <c r="G47" s="12">
        <v>6.10920710066E11</v>
      </c>
      <c r="H47" s="13">
        <v>46131.0</v>
      </c>
      <c r="I47" s="14" t="s">
        <v>180</v>
      </c>
      <c r="J47" s="12" t="s">
        <v>18</v>
      </c>
      <c r="K47" s="12"/>
      <c r="L47" s="12"/>
    </row>
    <row r="48" ht="22.5" customHeight="1">
      <c r="A48" s="10">
        <v>46133.350617557866</v>
      </c>
      <c r="B48" s="11" t="s">
        <v>181</v>
      </c>
      <c r="C48" s="11" t="s">
        <v>20</v>
      </c>
      <c r="D48" s="11" t="s">
        <v>182</v>
      </c>
      <c r="E48" s="11" t="s">
        <v>81</v>
      </c>
      <c r="F48" s="11" t="s">
        <v>16</v>
      </c>
      <c r="G48" s="12">
        <v>6.4765345109E11</v>
      </c>
      <c r="H48" s="13">
        <v>46132.0</v>
      </c>
      <c r="I48" s="14" t="s">
        <v>183</v>
      </c>
      <c r="J48" s="12" t="s">
        <v>18</v>
      </c>
      <c r="K48" s="15"/>
      <c r="L48" s="15"/>
    </row>
    <row r="49" ht="22.5" customHeight="1">
      <c r="A49" s="10">
        <v>46133.515096585645</v>
      </c>
      <c r="B49" s="11" t="s">
        <v>184</v>
      </c>
      <c r="C49" s="11" t="s">
        <v>35</v>
      </c>
      <c r="D49" s="11" t="s">
        <v>185</v>
      </c>
      <c r="E49" s="11" t="s">
        <v>66</v>
      </c>
      <c r="F49" s="11" t="s">
        <v>16</v>
      </c>
      <c r="G49" s="12">
        <v>1.20792550987E11</v>
      </c>
      <c r="H49" s="13">
        <v>46111.0</v>
      </c>
      <c r="I49" s="17" t="s">
        <v>186</v>
      </c>
      <c r="J49" s="12" t="s">
        <v>29</v>
      </c>
      <c r="K49" s="12">
        <v>2.0</v>
      </c>
      <c r="L49" s="12">
        <v>0.0</v>
      </c>
    </row>
    <row r="50" ht="22.5" customHeight="1">
      <c r="A50" s="10">
        <v>46133.7588415162</v>
      </c>
      <c r="B50" s="11" t="s">
        <v>187</v>
      </c>
      <c r="C50" s="11" t="s">
        <v>20</v>
      </c>
      <c r="D50" s="11" t="s">
        <v>65</v>
      </c>
      <c r="E50" s="11" t="s">
        <v>81</v>
      </c>
      <c r="F50" s="11" t="s">
        <v>16</v>
      </c>
      <c r="G50" s="12">
        <v>1.09654658438E11</v>
      </c>
      <c r="H50" s="13">
        <v>46133.0</v>
      </c>
      <c r="I50" s="14" t="s">
        <v>188</v>
      </c>
      <c r="J50" s="12" t="s">
        <v>18</v>
      </c>
      <c r="K50" s="15"/>
      <c r="L50" s="15"/>
    </row>
    <row r="51" ht="22.5" customHeight="1">
      <c r="A51" s="10">
        <v>46133.91212552083</v>
      </c>
      <c r="B51" s="11" t="s">
        <v>189</v>
      </c>
      <c r="C51" s="11" t="s">
        <v>13</v>
      </c>
      <c r="D51" s="11" t="s">
        <v>190</v>
      </c>
      <c r="E51" s="11" t="s">
        <v>81</v>
      </c>
      <c r="F51" s="11" t="s">
        <v>16</v>
      </c>
      <c r="G51" s="12">
        <v>6.10752144417E11</v>
      </c>
      <c r="H51" s="13">
        <v>46129.0</v>
      </c>
      <c r="I51" s="14" t="s">
        <v>191</v>
      </c>
      <c r="J51" s="12" t="s">
        <v>18</v>
      </c>
      <c r="K51" s="15"/>
      <c r="L51" s="15"/>
    </row>
    <row r="52" ht="22.5" customHeight="1">
      <c r="A52" s="10">
        <v>46134.000144618054</v>
      </c>
      <c r="B52" s="11" t="s">
        <v>192</v>
      </c>
      <c r="C52" s="11" t="s">
        <v>13</v>
      </c>
      <c r="D52" s="11" t="s">
        <v>193</v>
      </c>
      <c r="E52" s="11" t="s">
        <v>15</v>
      </c>
      <c r="F52" s="11" t="s">
        <v>16</v>
      </c>
      <c r="G52" s="12">
        <v>6.100740293E11</v>
      </c>
      <c r="H52" s="13">
        <v>46122.0</v>
      </c>
      <c r="I52" s="14" t="s">
        <v>194</v>
      </c>
      <c r="J52" s="12" t="s">
        <v>29</v>
      </c>
      <c r="K52" s="12">
        <v>2.0</v>
      </c>
      <c r="L52" s="12">
        <v>1.0</v>
      </c>
    </row>
    <row r="53" ht="22.5" customHeight="1">
      <c r="A53" s="10">
        <v>46134.84052758102</v>
      </c>
      <c r="B53" s="11" t="s">
        <v>195</v>
      </c>
      <c r="C53" s="11" t="s">
        <v>13</v>
      </c>
      <c r="E53" s="11" t="s">
        <v>81</v>
      </c>
      <c r="F53" s="11" t="s">
        <v>16</v>
      </c>
      <c r="G53" s="12">
        <v>6.11294150378E11</v>
      </c>
      <c r="H53" s="13">
        <v>46134.0</v>
      </c>
      <c r="I53" s="14" t="s">
        <v>196</v>
      </c>
      <c r="J53" s="12" t="s">
        <v>18</v>
      </c>
      <c r="K53" s="15"/>
      <c r="L53" s="15"/>
    </row>
    <row r="54" ht="22.5" customHeight="1">
      <c r="A54" s="10">
        <v>46135.37646127315</v>
      </c>
      <c r="B54" s="11" t="s">
        <v>197</v>
      </c>
      <c r="C54" s="11" t="s">
        <v>43</v>
      </c>
      <c r="D54" s="11" t="s">
        <v>198</v>
      </c>
      <c r="E54" s="11" t="s">
        <v>81</v>
      </c>
      <c r="F54" s="11" t="s">
        <v>16</v>
      </c>
      <c r="G54" s="12">
        <v>6.0309757525E11</v>
      </c>
      <c r="H54" s="13">
        <v>46132.0</v>
      </c>
      <c r="I54" s="14" t="s">
        <v>199</v>
      </c>
      <c r="J54" s="12" t="s">
        <v>18</v>
      </c>
      <c r="K54" s="15"/>
      <c r="L54" s="15"/>
    </row>
    <row r="55" ht="22.5" customHeight="1">
      <c r="A55" s="10">
        <v>46137.4578428588</v>
      </c>
      <c r="B55" s="11" t="s">
        <v>200</v>
      </c>
      <c r="C55" s="11" t="s">
        <v>31</v>
      </c>
      <c r="D55" s="11" t="s">
        <v>201</v>
      </c>
      <c r="E55" s="11" t="s">
        <v>81</v>
      </c>
      <c r="F55" s="11" t="s">
        <v>16</v>
      </c>
      <c r="G55" s="12">
        <v>6.48198301363E11</v>
      </c>
      <c r="H55" s="13">
        <v>46137.0</v>
      </c>
      <c r="I55" s="14" t="s">
        <v>202</v>
      </c>
      <c r="J55" s="12" t="s">
        <v>18</v>
      </c>
      <c r="K55" s="15"/>
      <c r="L55" s="15"/>
    </row>
    <row r="56" ht="22.5" customHeight="1">
      <c r="A56" s="10">
        <v>46137.56100732639</v>
      </c>
      <c r="B56" s="11" t="s">
        <v>203</v>
      </c>
      <c r="C56" s="11" t="s">
        <v>31</v>
      </c>
      <c r="D56" s="11" t="s">
        <v>204</v>
      </c>
      <c r="E56" s="11" t="s">
        <v>15</v>
      </c>
      <c r="F56" s="11" t="s">
        <v>16</v>
      </c>
      <c r="G56" s="12" t="s">
        <v>205</v>
      </c>
      <c r="H56" s="13">
        <v>46137.0</v>
      </c>
      <c r="I56" s="16" t="s">
        <v>206</v>
      </c>
      <c r="J56" s="12" t="s">
        <v>18</v>
      </c>
      <c r="K56" s="15"/>
      <c r="L56" s="15"/>
    </row>
    <row r="57" ht="22.5" customHeight="1">
      <c r="A57" s="10">
        <v>46137.851301539355</v>
      </c>
      <c r="B57" s="11" t="s">
        <v>207</v>
      </c>
      <c r="C57" s="11" t="s">
        <v>31</v>
      </c>
      <c r="D57" s="11" t="s">
        <v>208</v>
      </c>
      <c r="E57" s="11" t="s">
        <v>81</v>
      </c>
      <c r="F57" s="11" t="s">
        <v>16</v>
      </c>
      <c r="G57" s="12">
        <v>6.48119347061E11</v>
      </c>
      <c r="H57" s="13">
        <v>46137.0</v>
      </c>
      <c r="I57" s="14" t="s">
        <v>209</v>
      </c>
      <c r="J57" s="12" t="s">
        <v>18</v>
      </c>
      <c r="K57" s="15"/>
      <c r="L57" s="15"/>
    </row>
    <row r="58" ht="22.5" customHeight="1">
      <c r="A58" s="10">
        <v>46137.915003981485</v>
      </c>
      <c r="B58" s="11" t="s">
        <v>210</v>
      </c>
      <c r="C58" s="11" t="s">
        <v>31</v>
      </c>
      <c r="D58" s="11" t="s">
        <v>211</v>
      </c>
      <c r="E58" s="11" t="s">
        <v>81</v>
      </c>
      <c r="F58" s="11" t="s">
        <v>23</v>
      </c>
      <c r="G58" s="12" t="s">
        <v>212</v>
      </c>
      <c r="H58" s="13">
        <v>46137.0</v>
      </c>
      <c r="I58" s="14" t="s">
        <v>213</v>
      </c>
      <c r="J58" s="12" t="s">
        <v>18</v>
      </c>
      <c r="K58" s="15"/>
      <c r="L58" s="15"/>
    </row>
    <row r="59" ht="22.5" customHeight="1">
      <c r="A59" s="10">
        <v>46137.967585439816</v>
      </c>
      <c r="B59" s="11" t="s">
        <v>214</v>
      </c>
      <c r="C59" s="11" t="s">
        <v>31</v>
      </c>
      <c r="D59" s="11" t="s">
        <v>215</v>
      </c>
      <c r="E59" s="11" t="s">
        <v>81</v>
      </c>
      <c r="F59" s="11" t="s">
        <v>16</v>
      </c>
      <c r="G59" s="12">
        <v>6.48110400601E11</v>
      </c>
      <c r="H59" s="13">
        <v>46137.0</v>
      </c>
      <c r="I59" s="14" t="s">
        <v>216</v>
      </c>
      <c r="J59" s="12" t="s">
        <v>18</v>
      </c>
      <c r="K59" s="15"/>
      <c r="L59" s="15"/>
    </row>
    <row r="60" ht="22.5" customHeight="1">
      <c r="A60" s="10">
        <v>46138.51091548611</v>
      </c>
      <c r="B60" s="11" t="s">
        <v>217</v>
      </c>
      <c r="C60" s="11" t="s">
        <v>20</v>
      </c>
      <c r="D60" s="11" t="s">
        <v>218</v>
      </c>
      <c r="E60" s="11" t="s">
        <v>81</v>
      </c>
      <c r="F60" s="11" t="s">
        <v>16</v>
      </c>
      <c r="G60" s="12">
        <v>6.11663729601E11</v>
      </c>
      <c r="H60" s="13">
        <v>46138.0</v>
      </c>
      <c r="I60" s="17" t="s">
        <v>219</v>
      </c>
      <c r="J60" s="12" t="s">
        <v>18</v>
      </c>
      <c r="K60" s="15"/>
      <c r="L60" s="15"/>
    </row>
    <row r="61" ht="22.5" customHeight="1">
      <c r="A61" s="10">
        <v>46138.53591878472</v>
      </c>
      <c r="B61" s="11" t="s">
        <v>220</v>
      </c>
      <c r="C61" s="11" t="s">
        <v>20</v>
      </c>
      <c r="D61" s="11" t="s">
        <v>221</v>
      </c>
      <c r="E61" s="11" t="s">
        <v>81</v>
      </c>
      <c r="F61" s="11" t="s">
        <v>16</v>
      </c>
      <c r="G61" s="12">
        <v>6.48205441115E11</v>
      </c>
      <c r="H61" s="13">
        <v>46138.0</v>
      </c>
      <c r="I61" s="17" t="s">
        <v>222</v>
      </c>
      <c r="J61" s="12" t="s">
        <v>18</v>
      </c>
      <c r="K61" s="15"/>
      <c r="L61" s="15"/>
    </row>
    <row r="62" ht="22.5" customHeight="1">
      <c r="A62" s="10">
        <v>46138.58758569445</v>
      </c>
      <c r="B62" s="11" t="s">
        <v>223</v>
      </c>
      <c r="C62" s="11" t="s">
        <v>20</v>
      </c>
      <c r="D62" s="11" t="s">
        <v>224</v>
      </c>
      <c r="E62" s="11" t="s">
        <v>15</v>
      </c>
      <c r="F62" s="11" t="s">
        <v>16</v>
      </c>
      <c r="G62" s="12">
        <v>1.21950833817E11</v>
      </c>
      <c r="H62" s="13">
        <v>46133.0</v>
      </c>
      <c r="I62" s="14" t="s">
        <v>225</v>
      </c>
      <c r="J62" s="12" t="s">
        <v>29</v>
      </c>
      <c r="K62" s="12">
        <v>2.0</v>
      </c>
      <c r="L62" s="12">
        <v>0.0</v>
      </c>
    </row>
    <row r="63" ht="22.5" customHeight="1">
      <c r="A63" s="10">
        <v>46138.74962284722</v>
      </c>
      <c r="B63" s="11" t="s">
        <v>226</v>
      </c>
      <c r="C63" s="11" t="s">
        <v>20</v>
      </c>
      <c r="D63" s="11" t="s">
        <v>227</v>
      </c>
      <c r="E63" s="11" t="s">
        <v>81</v>
      </c>
      <c r="F63" s="11" t="s">
        <v>16</v>
      </c>
      <c r="G63" s="12">
        <v>6.48262625186E11</v>
      </c>
      <c r="H63" s="13">
        <v>46138.0</v>
      </c>
      <c r="I63" s="14" t="s">
        <v>228</v>
      </c>
      <c r="J63" s="12" t="s">
        <v>18</v>
      </c>
      <c r="K63" s="15"/>
      <c r="L63" s="15"/>
    </row>
    <row r="64" ht="22.5" customHeight="1">
      <c r="A64" s="10">
        <v>46138.773898287036</v>
      </c>
      <c r="B64" s="11" t="s">
        <v>229</v>
      </c>
      <c r="C64" s="11" t="s">
        <v>31</v>
      </c>
      <c r="E64" s="11" t="s">
        <v>81</v>
      </c>
      <c r="F64" s="11" t="s">
        <v>16</v>
      </c>
      <c r="G64" s="12">
        <v>6.11625638735E11</v>
      </c>
      <c r="H64" s="13">
        <v>46138.0</v>
      </c>
      <c r="I64" s="14" t="s">
        <v>230</v>
      </c>
      <c r="J64" s="12" t="s">
        <v>18</v>
      </c>
      <c r="K64" s="15"/>
      <c r="L64" s="15"/>
    </row>
    <row r="65" ht="22.5" customHeight="1">
      <c r="A65" s="10">
        <v>46138.80992328704</v>
      </c>
      <c r="B65" s="11" t="s">
        <v>231</v>
      </c>
      <c r="C65" s="11" t="s">
        <v>43</v>
      </c>
      <c r="D65" s="11" t="s">
        <v>232</v>
      </c>
      <c r="E65" s="11" t="s">
        <v>81</v>
      </c>
      <c r="F65" s="11" t="s">
        <v>16</v>
      </c>
      <c r="G65" s="12">
        <v>2.096292579E9</v>
      </c>
      <c r="H65" s="13">
        <v>46137.0</v>
      </c>
      <c r="I65" s="14" t="s">
        <v>233</v>
      </c>
      <c r="J65" s="12" t="s">
        <v>18</v>
      </c>
      <c r="K65" s="15"/>
      <c r="L65" s="15"/>
    </row>
    <row r="66" ht="22.5" customHeight="1">
      <c r="A66" s="10">
        <v>46139.31764918982</v>
      </c>
      <c r="B66" s="11" t="s">
        <v>234</v>
      </c>
      <c r="C66" s="11" t="s">
        <v>35</v>
      </c>
      <c r="E66" s="11" t="s">
        <v>81</v>
      </c>
      <c r="F66" s="11" t="s">
        <v>16</v>
      </c>
      <c r="G66" s="12">
        <v>6.10014648763E11</v>
      </c>
      <c r="H66" s="13">
        <v>46122.0</v>
      </c>
      <c r="J66" s="12" t="s">
        <v>18</v>
      </c>
      <c r="K66" s="15"/>
      <c r="L66" s="15"/>
    </row>
    <row r="67" ht="22.5" customHeight="1">
      <c r="A67" s="10">
        <v>46139.38595869213</v>
      </c>
      <c r="B67" s="11" t="s">
        <v>235</v>
      </c>
      <c r="C67" s="11" t="s">
        <v>35</v>
      </c>
      <c r="D67" s="11" t="s">
        <v>236</v>
      </c>
      <c r="E67" s="11" t="s">
        <v>81</v>
      </c>
      <c r="F67" s="11" t="s">
        <v>16</v>
      </c>
      <c r="G67" s="18" t="s">
        <v>237</v>
      </c>
      <c r="H67" s="13">
        <v>46139.0</v>
      </c>
      <c r="I67" s="14" t="s">
        <v>238</v>
      </c>
      <c r="J67" s="12" t="s">
        <v>18</v>
      </c>
      <c r="K67" s="15"/>
      <c r="L67" s="15"/>
    </row>
    <row r="68" ht="22.5" customHeight="1">
      <c r="A68" s="10">
        <v>46139.61622780093</v>
      </c>
      <c r="B68" s="11" t="s">
        <v>239</v>
      </c>
      <c r="C68" s="11" t="s">
        <v>35</v>
      </c>
      <c r="D68" s="11" t="s">
        <v>240</v>
      </c>
      <c r="E68" s="11" t="s">
        <v>81</v>
      </c>
      <c r="F68" s="11" t="s">
        <v>23</v>
      </c>
      <c r="G68" s="12" t="s">
        <v>241</v>
      </c>
      <c r="H68" s="13">
        <v>46139.0</v>
      </c>
      <c r="I68" s="14" t="s">
        <v>242</v>
      </c>
      <c r="J68" s="12" t="s">
        <v>18</v>
      </c>
      <c r="K68" s="15"/>
      <c r="L68" s="15"/>
    </row>
    <row r="69" ht="22.5" customHeight="1">
      <c r="A69" s="10">
        <v>46139.72847598379</v>
      </c>
      <c r="B69" s="11" t="s">
        <v>243</v>
      </c>
      <c r="C69" s="11" t="s">
        <v>31</v>
      </c>
      <c r="E69" s="11" t="s">
        <v>81</v>
      </c>
      <c r="F69" s="11" t="s">
        <v>16</v>
      </c>
      <c r="G69" s="12" t="s">
        <v>244</v>
      </c>
      <c r="H69" s="13">
        <v>46137.0</v>
      </c>
      <c r="I69" s="14" t="s">
        <v>245</v>
      </c>
      <c r="J69" s="12" t="s">
        <v>18</v>
      </c>
      <c r="K69" s="15"/>
      <c r="L69" s="15"/>
    </row>
    <row r="70" ht="22.5" customHeight="1">
      <c r="A70" s="10">
        <v>46139.74225685185</v>
      </c>
      <c r="B70" s="11" t="s">
        <v>246</v>
      </c>
      <c r="C70" s="11" t="s">
        <v>13</v>
      </c>
      <c r="D70" s="11" t="s">
        <v>247</v>
      </c>
      <c r="E70" s="11" t="s">
        <v>81</v>
      </c>
      <c r="F70" s="11" t="s">
        <v>16</v>
      </c>
      <c r="G70" s="12">
        <v>6.11739827221E11</v>
      </c>
      <c r="H70" s="13">
        <v>46139.0</v>
      </c>
      <c r="I70" s="17" t="s">
        <v>248</v>
      </c>
      <c r="J70" s="12" t="s">
        <v>18</v>
      </c>
      <c r="K70" s="15"/>
      <c r="L70" s="15"/>
    </row>
    <row r="71" ht="22.5" customHeight="1">
      <c r="A71" s="10">
        <v>46139.91110002315</v>
      </c>
      <c r="B71" s="11" t="s">
        <v>249</v>
      </c>
      <c r="C71" s="11" t="s">
        <v>35</v>
      </c>
      <c r="D71" s="11" t="s">
        <v>250</v>
      </c>
      <c r="E71" s="11" t="s">
        <v>81</v>
      </c>
      <c r="F71" s="11" t="s">
        <v>16</v>
      </c>
      <c r="G71" s="12">
        <v>1.2225691671E11</v>
      </c>
      <c r="H71" s="13">
        <v>46139.0</v>
      </c>
      <c r="I71" s="14" t="s">
        <v>251</v>
      </c>
      <c r="J71" s="12" t="s">
        <v>29</v>
      </c>
      <c r="K71" s="12">
        <v>2.0</v>
      </c>
      <c r="L71" s="12">
        <v>0.0</v>
      </c>
    </row>
    <row r="72" ht="22.5" customHeight="1">
      <c r="A72" s="10">
        <v>46140.51006439815</v>
      </c>
      <c r="B72" s="11" t="s">
        <v>252</v>
      </c>
      <c r="C72" s="11" t="s">
        <v>35</v>
      </c>
      <c r="D72" s="11" t="s">
        <v>253</v>
      </c>
      <c r="E72" s="11" t="s">
        <v>81</v>
      </c>
      <c r="F72" s="11" t="s">
        <v>16</v>
      </c>
      <c r="G72" s="12">
        <v>6.11838083202E11</v>
      </c>
      <c r="H72" s="13">
        <v>46140.0</v>
      </c>
      <c r="I72" s="14" t="s">
        <v>254</v>
      </c>
      <c r="J72" s="12" t="s">
        <v>18</v>
      </c>
      <c r="K72" s="15"/>
      <c r="L72" s="15"/>
    </row>
    <row r="73" ht="22.5" customHeight="1">
      <c r="A73" s="10">
        <v>46140.60481415509</v>
      </c>
      <c r="B73" s="11" t="s">
        <v>255</v>
      </c>
      <c r="C73" s="11" t="s">
        <v>35</v>
      </c>
      <c r="D73" s="11" t="s">
        <v>256</v>
      </c>
      <c r="E73" s="11" t="s">
        <v>81</v>
      </c>
      <c r="F73" s="11" t="s">
        <v>16</v>
      </c>
      <c r="G73" s="12">
        <v>6.11872654702E11</v>
      </c>
      <c r="H73" s="13">
        <v>46140.0</v>
      </c>
      <c r="I73" s="11" t="s">
        <v>257</v>
      </c>
      <c r="J73" s="12" t="s">
        <v>18</v>
      </c>
      <c r="K73" s="15"/>
      <c r="L73" s="15"/>
    </row>
    <row r="74" ht="22.5" customHeight="1">
      <c r="A74" s="10">
        <v>46140.61060383102</v>
      </c>
      <c r="B74" s="11" t="s">
        <v>258</v>
      </c>
      <c r="C74" s="11" t="s">
        <v>35</v>
      </c>
      <c r="D74" s="11" t="s">
        <v>259</v>
      </c>
      <c r="E74" s="11" t="s">
        <v>81</v>
      </c>
      <c r="F74" s="11" t="s">
        <v>16</v>
      </c>
      <c r="G74" s="12">
        <v>6.11832371919E11</v>
      </c>
      <c r="H74" s="13">
        <v>46140.0</v>
      </c>
      <c r="I74" s="14" t="s">
        <v>260</v>
      </c>
      <c r="J74" s="12" t="s">
        <v>29</v>
      </c>
      <c r="K74" s="12">
        <v>2.0</v>
      </c>
      <c r="L74" s="12">
        <v>2.0</v>
      </c>
    </row>
    <row r="75" ht="22.5" customHeight="1">
      <c r="A75" s="10">
        <v>46141.523428009255</v>
      </c>
      <c r="B75" s="11" t="s">
        <v>261</v>
      </c>
      <c r="C75" s="11" t="s">
        <v>31</v>
      </c>
      <c r="D75" s="11" t="s">
        <v>262</v>
      </c>
      <c r="E75" s="11" t="s">
        <v>81</v>
      </c>
      <c r="F75" s="11" t="s">
        <v>16</v>
      </c>
      <c r="G75" s="12">
        <v>6.11687858791E11</v>
      </c>
      <c r="H75" s="13">
        <v>46138.0</v>
      </c>
      <c r="J75" s="12" t="s">
        <v>18</v>
      </c>
      <c r="K75" s="15"/>
      <c r="L75" s="15"/>
    </row>
    <row r="76" ht="22.5" customHeight="1">
      <c r="A76" s="10">
        <v>46142.88950140047</v>
      </c>
      <c r="B76" s="11" t="s">
        <v>263</v>
      </c>
      <c r="C76" s="11" t="s">
        <v>13</v>
      </c>
      <c r="D76" s="11" t="s">
        <v>264</v>
      </c>
      <c r="E76" s="11" t="s">
        <v>81</v>
      </c>
      <c r="F76" s="11" t="s">
        <v>16</v>
      </c>
      <c r="G76" s="12">
        <v>6.48615187307E11</v>
      </c>
      <c r="H76" s="13">
        <v>46142.0</v>
      </c>
      <c r="I76" s="14" t="s">
        <v>265</v>
      </c>
      <c r="J76" s="12" t="s">
        <v>18</v>
      </c>
      <c r="K76" s="15"/>
      <c r="L76" s="15"/>
    </row>
    <row r="77" ht="22.5" customHeight="1">
      <c r="A77" s="10">
        <v>46144.78194123843</v>
      </c>
      <c r="B77" s="11" t="s">
        <v>266</v>
      </c>
      <c r="C77" s="11" t="s">
        <v>43</v>
      </c>
      <c r="D77" s="11" t="s">
        <v>267</v>
      </c>
      <c r="E77" s="11" t="s">
        <v>81</v>
      </c>
      <c r="F77" s="11" t="s">
        <v>16</v>
      </c>
      <c r="G77" s="12" t="s">
        <v>268</v>
      </c>
      <c r="H77" s="13">
        <v>46143.0</v>
      </c>
      <c r="I77" s="14" t="s">
        <v>269</v>
      </c>
      <c r="J77" s="12" t="s">
        <v>18</v>
      </c>
      <c r="K77" s="15"/>
      <c r="L77" s="15"/>
    </row>
    <row r="78" ht="22.5" customHeight="1">
      <c r="A78" s="10">
        <v>46146.38684659722</v>
      </c>
      <c r="B78" s="11" t="s">
        <v>270</v>
      </c>
      <c r="C78" s="11" t="s">
        <v>43</v>
      </c>
      <c r="D78" s="11" t="s">
        <v>271</v>
      </c>
      <c r="E78" s="11" t="s">
        <v>81</v>
      </c>
      <c r="F78" s="11" t="s">
        <v>23</v>
      </c>
      <c r="G78" s="12" t="s">
        <v>272</v>
      </c>
      <c r="H78" s="13">
        <v>46145.0</v>
      </c>
      <c r="I78" s="14" t="s">
        <v>273</v>
      </c>
      <c r="J78" s="12" t="s">
        <v>18</v>
      </c>
      <c r="K78" s="15"/>
      <c r="L78" s="15"/>
    </row>
    <row r="79" ht="22.5" customHeight="1">
      <c r="A79" s="10">
        <v>46146.464500648144</v>
      </c>
      <c r="B79" s="11" t="s">
        <v>274</v>
      </c>
      <c r="C79" s="11" t="s">
        <v>13</v>
      </c>
      <c r="D79" s="11" t="s">
        <v>275</v>
      </c>
      <c r="E79" s="11" t="s">
        <v>81</v>
      </c>
      <c r="F79" s="11" t="s">
        <v>16</v>
      </c>
      <c r="G79" s="12" t="s">
        <v>276</v>
      </c>
      <c r="H79" s="13">
        <v>46144.0</v>
      </c>
      <c r="I79" s="14" t="s">
        <v>277</v>
      </c>
      <c r="J79" s="12" t="s">
        <v>29</v>
      </c>
      <c r="K79" s="12">
        <v>2.0</v>
      </c>
      <c r="L79" s="12">
        <v>1.0</v>
      </c>
    </row>
    <row r="80" ht="22.5" customHeight="1">
      <c r="A80" s="10">
        <v>46146.52305363426</v>
      </c>
      <c r="B80" s="11" t="s">
        <v>278</v>
      </c>
      <c r="C80" s="11" t="s">
        <v>20</v>
      </c>
      <c r="D80" s="11" t="s">
        <v>279</v>
      </c>
      <c r="E80" s="11" t="s">
        <v>81</v>
      </c>
      <c r="F80" s="11" t="s">
        <v>16</v>
      </c>
      <c r="G80" s="12">
        <v>6.12452932336E11</v>
      </c>
      <c r="H80" s="13">
        <v>46146.0</v>
      </c>
      <c r="I80" s="14" t="s">
        <v>280</v>
      </c>
      <c r="J80" s="12" t="s">
        <v>18</v>
      </c>
      <c r="K80" s="15"/>
      <c r="L80" s="15"/>
    </row>
    <row r="81" ht="22.5" customHeight="1">
      <c r="A81" s="10">
        <v>46146.82583901621</v>
      </c>
      <c r="B81" s="11" t="s">
        <v>281</v>
      </c>
      <c r="C81" s="11" t="s">
        <v>13</v>
      </c>
      <c r="D81" s="11" t="s">
        <v>282</v>
      </c>
      <c r="E81" s="11" t="s">
        <v>81</v>
      </c>
      <c r="F81" s="11" t="s">
        <v>16</v>
      </c>
      <c r="G81" s="12" t="s">
        <v>283</v>
      </c>
      <c r="H81" s="13">
        <v>46144.0</v>
      </c>
      <c r="I81" s="14" t="s">
        <v>284</v>
      </c>
      <c r="J81" s="12" t="s">
        <v>18</v>
      </c>
      <c r="K81" s="15"/>
      <c r="L81" s="15"/>
    </row>
    <row r="82" ht="22.5" customHeight="1">
      <c r="A82" s="10">
        <v>46146.953284375</v>
      </c>
      <c r="B82" s="11" t="s">
        <v>285</v>
      </c>
      <c r="C82" s="11" t="s">
        <v>13</v>
      </c>
      <c r="D82" s="11" t="s">
        <v>286</v>
      </c>
      <c r="E82" s="11" t="s">
        <v>81</v>
      </c>
      <c r="F82" s="11" t="s">
        <v>16</v>
      </c>
      <c r="G82" s="12">
        <v>6.48810508213E11</v>
      </c>
      <c r="H82" s="13">
        <v>46144.0</v>
      </c>
      <c r="I82" s="17" t="s">
        <v>287</v>
      </c>
      <c r="J82" s="12" t="s">
        <v>18</v>
      </c>
      <c r="K82" s="15"/>
      <c r="L82" s="15"/>
    </row>
    <row r="83" ht="22.5" customHeight="1">
      <c r="A83" s="10">
        <v>46148.95968608797</v>
      </c>
      <c r="B83" s="11" t="s">
        <v>288</v>
      </c>
      <c r="C83" s="11" t="s">
        <v>43</v>
      </c>
      <c r="D83" s="11" t="s">
        <v>289</v>
      </c>
      <c r="E83" s="11" t="s">
        <v>81</v>
      </c>
      <c r="F83" s="11" t="s">
        <v>16</v>
      </c>
      <c r="G83" s="12">
        <v>3.02090877903E11</v>
      </c>
      <c r="H83" s="13">
        <v>46148.0</v>
      </c>
      <c r="I83" s="14" t="s">
        <v>290</v>
      </c>
      <c r="J83" s="12" t="s">
        <v>18</v>
      </c>
      <c r="K83" s="15"/>
      <c r="L83" s="15"/>
    </row>
    <row r="84" ht="22.5" customHeight="1">
      <c r="A84" s="10">
        <v>46149.85546694444</v>
      </c>
      <c r="B84" s="11" t="s">
        <v>291</v>
      </c>
      <c r="C84" s="11" t="s">
        <v>13</v>
      </c>
      <c r="D84" s="11" t="s">
        <v>292</v>
      </c>
      <c r="E84" s="11" t="s">
        <v>81</v>
      </c>
      <c r="F84" s="11" t="s">
        <v>16</v>
      </c>
      <c r="G84" s="12" t="s">
        <v>293</v>
      </c>
      <c r="H84" s="13">
        <v>46149.0</v>
      </c>
      <c r="I84" s="17" t="s">
        <v>294</v>
      </c>
      <c r="J84" s="12" t="s">
        <v>18</v>
      </c>
      <c r="K84" s="15"/>
      <c r="L84" s="15"/>
    </row>
    <row r="85" ht="22.5" customHeight="1">
      <c r="A85" s="10">
        <v>46150.86391354167</v>
      </c>
      <c r="B85" s="11" t="s">
        <v>295</v>
      </c>
      <c r="C85" s="11" t="s">
        <v>43</v>
      </c>
      <c r="D85" s="11" t="s">
        <v>296</v>
      </c>
      <c r="E85" s="11" t="s">
        <v>81</v>
      </c>
      <c r="F85" s="11" t="s">
        <v>16</v>
      </c>
      <c r="G85" s="12" t="s">
        <v>297</v>
      </c>
      <c r="H85" s="13">
        <v>46150.0</v>
      </c>
      <c r="J85" s="12" t="s">
        <v>29</v>
      </c>
      <c r="K85" s="12">
        <v>2.0</v>
      </c>
      <c r="L85" s="12">
        <v>0.0</v>
      </c>
    </row>
    <row r="86" ht="22.5" customHeight="1">
      <c r="A86" s="10">
        <v>46150.867992685184</v>
      </c>
      <c r="B86" s="11" t="s">
        <v>298</v>
      </c>
      <c r="C86" s="11" t="s">
        <v>43</v>
      </c>
      <c r="D86" s="11" t="s">
        <v>299</v>
      </c>
      <c r="E86" s="11" t="s">
        <v>81</v>
      </c>
      <c r="F86" s="11" t="s">
        <v>16</v>
      </c>
      <c r="G86" s="12" t="s">
        <v>300</v>
      </c>
      <c r="H86" s="13">
        <v>46150.0</v>
      </c>
      <c r="J86" s="12" t="s">
        <v>29</v>
      </c>
      <c r="K86" s="12">
        <v>2.0</v>
      </c>
      <c r="L86" s="12">
        <v>0.0</v>
      </c>
    </row>
    <row r="87" ht="22.5" customHeight="1">
      <c r="A87" s="10">
        <v>46151.656374872684</v>
      </c>
      <c r="B87" s="11" t="s">
        <v>301</v>
      </c>
      <c r="C87" s="11" t="s">
        <v>20</v>
      </c>
      <c r="D87" s="11" t="s">
        <v>302</v>
      </c>
      <c r="E87" s="11" t="s">
        <v>81</v>
      </c>
      <c r="F87" s="11" t="s">
        <v>16</v>
      </c>
      <c r="G87" s="12">
        <v>1.22852224344E11</v>
      </c>
      <c r="H87" s="13">
        <v>46151.0</v>
      </c>
      <c r="I87" s="14" t="s">
        <v>303</v>
      </c>
      <c r="J87" s="12" t="s">
        <v>18</v>
      </c>
      <c r="K87" s="15"/>
      <c r="L87" s="15"/>
    </row>
    <row r="88" ht="22.5" customHeight="1">
      <c r="A88" s="10">
        <v>46151.83788925926</v>
      </c>
      <c r="B88" s="11" t="s">
        <v>304</v>
      </c>
      <c r="C88" s="11" t="s">
        <v>13</v>
      </c>
      <c r="D88" s="11" t="s">
        <v>305</v>
      </c>
      <c r="E88" s="11" t="s">
        <v>81</v>
      </c>
      <c r="F88" s="11" t="s">
        <v>16</v>
      </c>
      <c r="G88" s="12">
        <v>6.12660678788E11</v>
      </c>
      <c r="H88" s="13">
        <v>46148.0</v>
      </c>
      <c r="I88" s="14" t="s">
        <v>306</v>
      </c>
      <c r="J88" s="12" t="s">
        <v>29</v>
      </c>
      <c r="K88" s="12">
        <v>2.0</v>
      </c>
      <c r="L88" s="12">
        <v>2.0</v>
      </c>
    </row>
    <row r="89" ht="22.5" customHeight="1">
      <c r="A89" s="10">
        <v>46152.76899702546</v>
      </c>
      <c r="B89" s="11" t="s">
        <v>307</v>
      </c>
      <c r="C89" s="11" t="s">
        <v>35</v>
      </c>
      <c r="D89" s="11" t="s">
        <v>308</v>
      </c>
      <c r="E89" s="11" t="s">
        <v>81</v>
      </c>
      <c r="F89" s="11" t="s">
        <v>16</v>
      </c>
      <c r="G89" s="12">
        <v>1.0970123813E11</v>
      </c>
      <c r="H89" s="13">
        <v>46141.0</v>
      </c>
      <c r="I89" s="14" t="s">
        <v>309</v>
      </c>
      <c r="J89" s="12" t="s">
        <v>18</v>
      </c>
      <c r="K89" s="15"/>
      <c r="L89" s="15"/>
    </row>
    <row r="90" ht="22.5" customHeight="1">
      <c r="A90" s="10">
        <v>46153.59825819444</v>
      </c>
      <c r="B90" s="11" t="s">
        <v>310</v>
      </c>
      <c r="C90" s="11" t="s">
        <v>13</v>
      </c>
      <c r="D90" s="11" t="s">
        <v>311</v>
      </c>
      <c r="E90" s="11" t="s">
        <v>81</v>
      </c>
      <c r="F90" s="11" t="s">
        <v>16</v>
      </c>
      <c r="G90" s="12" t="s">
        <v>312</v>
      </c>
      <c r="H90" s="13">
        <v>46153.0</v>
      </c>
      <c r="I90" s="14" t="s">
        <v>313</v>
      </c>
      <c r="J90" s="12" t="s">
        <v>18</v>
      </c>
      <c r="K90" s="15"/>
      <c r="L90" s="15"/>
    </row>
    <row r="91" ht="22.5" customHeight="1">
      <c r="A91" s="10">
        <v>46154.53367252315</v>
      </c>
      <c r="B91" s="11" t="s">
        <v>314</v>
      </c>
      <c r="C91" s="11" t="s">
        <v>35</v>
      </c>
      <c r="D91" s="11" t="s">
        <v>315</v>
      </c>
      <c r="E91" s="11" t="s">
        <v>15</v>
      </c>
      <c r="F91" s="11" t="s">
        <v>23</v>
      </c>
      <c r="G91" s="12" t="s">
        <v>316</v>
      </c>
      <c r="H91" s="13">
        <v>46154.0</v>
      </c>
      <c r="I91" s="14" t="s">
        <v>317</v>
      </c>
      <c r="J91" s="12" t="s">
        <v>29</v>
      </c>
      <c r="K91" s="12">
        <v>2.0</v>
      </c>
      <c r="L91" s="12">
        <v>0.0</v>
      </c>
    </row>
    <row r="92" ht="22.5" customHeight="1">
      <c r="A92" s="10">
        <v>46154.68537689815</v>
      </c>
      <c r="B92" s="11" t="s">
        <v>318</v>
      </c>
      <c r="C92" s="11" t="s">
        <v>20</v>
      </c>
      <c r="D92" s="11" t="s">
        <v>319</v>
      </c>
      <c r="E92" s="11" t="s">
        <v>81</v>
      </c>
      <c r="F92" s="11" t="s">
        <v>16</v>
      </c>
      <c r="G92" s="12" t="s">
        <v>320</v>
      </c>
      <c r="H92" s="13">
        <v>46154.0</v>
      </c>
      <c r="J92" s="12" t="s">
        <v>18</v>
      </c>
      <c r="K92" s="15"/>
      <c r="L92" s="15"/>
    </row>
    <row r="93" ht="22.5" customHeight="1">
      <c r="A93" s="10">
        <v>46156.61597144676</v>
      </c>
      <c r="B93" s="11" t="s">
        <v>321</v>
      </c>
      <c r="C93" s="11" t="s">
        <v>43</v>
      </c>
      <c r="D93" s="11" t="s">
        <v>322</v>
      </c>
      <c r="E93" s="11" t="s">
        <v>81</v>
      </c>
      <c r="F93" s="11" t="s">
        <v>16</v>
      </c>
      <c r="G93" s="12" t="s">
        <v>323</v>
      </c>
      <c r="H93" s="13">
        <v>46156.0</v>
      </c>
      <c r="I93" s="17" t="s">
        <v>324</v>
      </c>
      <c r="J93" s="12" t="s">
        <v>18</v>
      </c>
    </row>
    <row r="94" ht="22.5" customHeight="1">
      <c r="A94" s="10">
        <v>46157.977769756944</v>
      </c>
      <c r="B94" s="11" t="s">
        <v>325</v>
      </c>
      <c r="C94" s="11" t="s">
        <v>43</v>
      </c>
      <c r="D94" s="11" t="s">
        <v>326</v>
      </c>
      <c r="E94" s="11" t="s">
        <v>81</v>
      </c>
      <c r="F94" s="11" t="s">
        <v>16</v>
      </c>
      <c r="G94" s="11" t="s">
        <v>327</v>
      </c>
      <c r="H94" s="13">
        <v>46157.0</v>
      </c>
      <c r="J94" s="11" t="s">
        <v>18</v>
      </c>
    </row>
    <row r="95" ht="22.5" customHeight="1">
      <c r="A95" s="10">
        <v>46157.980581689815</v>
      </c>
      <c r="B95" s="11" t="s">
        <v>328</v>
      </c>
      <c r="C95" s="11" t="s">
        <v>43</v>
      </c>
      <c r="D95" s="11" t="s">
        <v>329</v>
      </c>
      <c r="E95" s="11" t="s">
        <v>81</v>
      </c>
      <c r="F95" s="11" t="s">
        <v>16</v>
      </c>
      <c r="G95" s="11">
        <v>1.2309014085E11</v>
      </c>
      <c r="H95" s="13">
        <v>46156.0</v>
      </c>
      <c r="J95" s="11" t="s">
        <v>18</v>
      </c>
    </row>
    <row r="96" ht="22.5" customHeight="1">
      <c r="A96" s="10">
        <v>46159.63321332176</v>
      </c>
      <c r="B96" s="11" t="s">
        <v>330</v>
      </c>
      <c r="C96" s="11" t="s">
        <v>35</v>
      </c>
      <c r="D96" s="11" t="s">
        <v>331</v>
      </c>
      <c r="E96" s="11" t="s">
        <v>81</v>
      </c>
      <c r="F96" s="11" t="s">
        <v>23</v>
      </c>
      <c r="G96" s="11" t="s">
        <v>332</v>
      </c>
      <c r="H96" s="13">
        <v>46155.0</v>
      </c>
      <c r="I96" s="14" t="s">
        <v>333</v>
      </c>
      <c r="J96" s="11" t="s">
        <v>18</v>
      </c>
    </row>
    <row r="97" ht="22.5" customHeight="1">
      <c r="A97" s="10">
        <v>46177.75097951389</v>
      </c>
      <c r="B97" s="11" t="s">
        <v>334</v>
      </c>
      <c r="C97" s="11" t="s">
        <v>13</v>
      </c>
      <c r="D97" s="11" t="s">
        <v>335</v>
      </c>
      <c r="E97" s="11" t="s">
        <v>81</v>
      </c>
      <c r="F97" s="11" t="s">
        <v>16</v>
      </c>
      <c r="G97" s="11">
        <v>1.24199026989E11</v>
      </c>
      <c r="H97" s="13">
        <v>46177.0</v>
      </c>
      <c r="I97" s="14" t="s">
        <v>336</v>
      </c>
      <c r="J97" s="11" t="s">
        <v>18</v>
      </c>
    </row>
    <row r="98">
      <c r="G98" s="19"/>
      <c r="J98" s="19"/>
      <c r="K98" s="19"/>
      <c r="L98" s="19"/>
    </row>
    <row r="99">
      <c r="G99" s="19"/>
      <c r="J99" s="19"/>
      <c r="K99" s="19"/>
      <c r="L99" s="19"/>
    </row>
    <row r="100">
      <c r="G100" s="19"/>
      <c r="J100" s="19"/>
      <c r="K100" s="19"/>
      <c r="L100" s="19"/>
    </row>
    <row r="101">
      <c r="G101" s="19"/>
      <c r="J101" s="19"/>
      <c r="K101" s="19"/>
      <c r="L101" s="19"/>
    </row>
    <row r="102">
      <c r="G102" s="19"/>
      <c r="J102" s="19"/>
      <c r="K102" s="19"/>
      <c r="L102" s="19"/>
    </row>
    <row r="103">
      <c r="G103" s="19"/>
      <c r="J103" s="19"/>
      <c r="K103" s="19"/>
      <c r="L103" s="19"/>
    </row>
    <row r="104">
      <c r="G104" s="19"/>
      <c r="J104" s="19"/>
      <c r="K104" s="19"/>
      <c r="L104" s="19"/>
    </row>
    <row r="105">
      <c r="G105" s="19"/>
      <c r="J105" s="19"/>
      <c r="K105" s="19"/>
      <c r="L105" s="19"/>
    </row>
    <row r="106">
      <c r="G106" s="19"/>
      <c r="J106" s="19"/>
      <c r="K106" s="19"/>
      <c r="L106" s="19"/>
    </row>
    <row r="107">
      <c r="G107" s="19"/>
      <c r="J107" s="19"/>
      <c r="K107" s="19"/>
      <c r="L107" s="19"/>
    </row>
    <row r="108">
      <c r="G108" s="19"/>
      <c r="J108" s="19"/>
      <c r="K108" s="19"/>
      <c r="L108" s="19"/>
    </row>
    <row r="109">
      <c r="G109" s="19"/>
      <c r="J109" s="19"/>
      <c r="K109" s="19"/>
      <c r="L109" s="19"/>
    </row>
    <row r="110">
      <c r="G110" s="19"/>
      <c r="J110" s="19"/>
      <c r="K110" s="19"/>
      <c r="L110" s="19"/>
    </row>
    <row r="111">
      <c r="G111" s="19"/>
      <c r="J111" s="19"/>
      <c r="K111" s="19"/>
      <c r="L111" s="19"/>
    </row>
    <row r="112">
      <c r="G112" s="19"/>
      <c r="J112" s="19"/>
      <c r="K112" s="19"/>
      <c r="L112" s="19"/>
    </row>
    <row r="113">
      <c r="G113" s="19"/>
      <c r="J113" s="19"/>
      <c r="K113" s="19"/>
      <c r="L113" s="19"/>
    </row>
    <row r="114">
      <c r="G114" s="19"/>
      <c r="J114" s="19"/>
      <c r="K114" s="19"/>
      <c r="L114" s="19"/>
    </row>
    <row r="115">
      <c r="G115" s="19"/>
      <c r="J115" s="19"/>
      <c r="K115" s="19"/>
      <c r="L115" s="19"/>
    </row>
    <row r="116">
      <c r="G116" s="19"/>
      <c r="J116" s="19"/>
      <c r="K116" s="19"/>
      <c r="L116" s="19"/>
    </row>
    <row r="117">
      <c r="G117" s="19"/>
      <c r="J117" s="19"/>
      <c r="K117" s="19"/>
      <c r="L117" s="19"/>
    </row>
    <row r="118">
      <c r="G118" s="19"/>
      <c r="J118" s="19"/>
      <c r="K118" s="19"/>
      <c r="L118" s="19"/>
    </row>
    <row r="119">
      <c r="G119" s="19"/>
      <c r="J119" s="19"/>
      <c r="K119" s="19"/>
      <c r="L119" s="19"/>
    </row>
    <row r="120">
      <c r="G120" s="19"/>
      <c r="J120" s="19"/>
      <c r="K120" s="19"/>
      <c r="L120" s="19"/>
    </row>
    <row r="121">
      <c r="G121" s="19"/>
      <c r="J121" s="19"/>
      <c r="K121" s="19"/>
      <c r="L121" s="19"/>
    </row>
    <row r="122">
      <c r="G122" s="19"/>
      <c r="J122" s="19"/>
      <c r="K122" s="19"/>
      <c r="L122" s="19"/>
    </row>
    <row r="123">
      <c r="G123" s="19"/>
      <c r="J123" s="19"/>
      <c r="K123" s="19"/>
      <c r="L123" s="19"/>
    </row>
    <row r="124">
      <c r="G124" s="19"/>
      <c r="J124" s="19"/>
      <c r="K124" s="19"/>
      <c r="L124" s="19"/>
    </row>
    <row r="125">
      <c r="G125" s="19"/>
      <c r="J125" s="19"/>
      <c r="K125" s="19"/>
      <c r="L125" s="19"/>
    </row>
    <row r="126">
      <c r="G126" s="19"/>
      <c r="J126" s="19"/>
      <c r="K126" s="19"/>
      <c r="L126" s="19"/>
    </row>
    <row r="127">
      <c r="G127" s="19"/>
      <c r="J127" s="19"/>
      <c r="K127" s="19"/>
      <c r="L127" s="19"/>
    </row>
    <row r="128">
      <c r="G128" s="19"/>
      <c r="J128" s="19"/>
      <c r="K128" s="19"/>
      <c r="L128" s="19"/>
    </row>
    <row r="129">
      <c r="G129" s="19"/>
      <c r="J129" s="19"/>
      <c r="K129" s="19"/>
      <c r="L129" s="19"/>
    </row>
    <row r="130">
      <c r="G130" s="19"/>
      <c r="J130" s="19"/>
      <c r="K130" s="19"/>
      <c r="L130" s="19"/>
    </row>
    <row r="131">
      <c r="G131" s="19"/>
      <c r="J131" s="19"/>
      <c r="K131" s="19"/>
      <c r="L131" s="19"/>
    </row>
    <row r="132">
      <c r="G132" s="19"/>
      <c r="J132" s="19"/>
      <c r="K132" s="19"/>
      <c r="L132" s="19"/>
    </row>
    <row r="133">
      <c r="G133" s="19"/>
      <c r="J133" s="19"/>
      <c r="K133" s="19"/>
      <c r="L133" s="19"/>
    </row>
    <row r="134">
      <c r="G134" s="19"/>
      <c r="J134" s="19"/>
      <c r="K134" s="19"/>
      <c r="L134" s="19"/>
    </row>
    <row r="135">
      <c r="G135" s="19"/>
      <c r="J135" s="19"/>
      <c r="K135" s="19"/>
      <c r="L135" s="19"/>
    </row>
    <row r="136">
      <c r="G136" s="19"/>
      <c r="J136" s="19"/>
      <c r="K136" s="19"/>
      <c r="L136" s="19"/>
    </row>
    <row r="137">
      <c r="G137" s="19"/>
      <c r="J137" s="19"/>
      <c r="K137" s="19"/>
      <c r="L137" s="19"/>
    </row>
    <row r="138">
      <c r="G138" s="19"/>
      <c r="J138" s="19"/>
      <c r="K138" s="19"/>
      <c r="L138" s="19"/>
    </row>
    <row r="139">
      <c r="G139" s="19"/>
      <c r="J139" s="19"/>
      <c r="K139" s="19"/>
      <c r="L139" s="19"/>
    </row>
    <row r="140">
      <c r="G140" s="19"/>
      <c r="J140" s="19"/>
      <c r="K140" s="19"/>
      <c r="L140" s="19"/>
    </row>
    <row r="141">
      <c r="G141" s="19"/>
      <c r="J141" s="19"/>
      <c r="K141" s="19"/>
      <c r="L141" s="19"/>
    </row>
    <row r="142">
      <c r="G142" s="19"/>
      <c r="J142" s="19"/>
      <c r="K142" s="19"/>
      <c r="L142" s="19"/>
    </row>
    <row r="143">
      <c r="G143" s="19"/>
      <c r="J143" s="19"/>
      <c r="K143" s="19"/>
      <c r="L143" s="19"/>
    </row>
    <row r="144">
      <c r="G144" s="19"/>
      <c r="J144" s="19"/>
      <c r="K144" s="19"/>
      <c r="L144" s="19"/>
    </row>
    <row r="145">
      <c r="G145" s="19"/>
      <c r="J145" s="19"/>
      <c r="K145" s="19"/>
      <c r="L145" s="19"/>
    </row>
    <row r="146">
      <c r="G146" s="19"/>
      <c r="J146" s="19"/>
      <c r="K146" s="19"/>
      <c r="L146" s="19"/>
    </row>
    <row r="147">
      <c r="G147" s="19"/>
      <c r="J147" s="19"/>
      <c r="K147" s="19"/>
      <c r="L147" s="19"/>
    </row>
    <row r="148">
      <c r="G148" s="19"/>
      <c r="J148" s="19"/>
      <c r="K148" s="19"/>
      <c r="L148" s="19"/>
    </row>
    <row r="149">
      <c r="G149" s="19"/>
      <c r="J149" s="19"/>
      <c r="K149" s="19"/>
      <c r="L149" s="19"/>
    </row>
    <row r="150">
      <c r="G150" s="19"/>
      <c r="J150" s="19"/>
      <c r="K150" s="19"/>
      <c r="L150" s="19"/>
    </row>
    <row r="151">
      <c r="G151" s="19"/>
      <c r="J151" s="19"/>
      <c r="K151" s="19"/>
      <c r="L151" s="19"/>
    </row>
    <row r="152">
      <c r="G152" s="19"/>
      <c r="J152" s="19"/>
      <c r="K152" s="19"/>
      <c r="L152" s="19"/>
    </row>
    <row r="153">
      <c r="G153" s="19"/>
      <c r="J153" s="19"/>
      <c r="K153" s="19"/>
      <c r="L153" s="19"/>
    </row>
    <row r="154">
      <c r="G154" s="19"/>
      <c r="J154" s="19"/>
      <c r="K154" s="19"/>
      <c r="L154" s="19"/>
    </row>
    <row r="155">
      <c r="G155" s="19"/>
      <c r="J155" s="19"/>
      <c r="K155" s="19"/>
      <c r="L155" s="19"/>
    </row>
    <row r="156">
      <c r="G156" s="19"/>
      <c r="J156" s="19"/>
      <c r="K156" s="19"/>
      <c r="L156" s="19"/>
    </row>
    <row r="157">
      <c r="G157" s="19"/>
      <c r="J157" s="19"/>
      <c r="K157" s="19"/>
      <c r="L157" s="19"/>
    </row>
    <row r="158">
      <c r="G158" s="19"/>
      <c r="J158" s="19"/>
      <c r="K158" s="19"/>
      <c r="L158" s="19"/>
    </row>
    <row r="159">
      <c r="G159" s="19"/>
      <c r="J159" s="19"/>
      <c r="K159" s="19"/>
      <c r="L159" s="19"/>
    </row>
    <row r="160">
      <c r="G160" s="19"/>
      <c r="J160" s="19"/>
      <c r="K160" s="19"/>
      <c r="L160" s="19"/>
    </row>
    <row r="161">
      <c r="G161" s="19"/>
      <c r="J161" s="19"/>
      <c r="K161" s="19"/>
      <c r="L161" s="19"/>
    </row>
    <row r="162">
      <c r="G162" s="19"/>
      <c r="J162" s="19"/>
      <c r="K162" s="19"/>
      <c r="L162" s="19"/>
    </row>
    <row r="163">
      <c r="G163" s="19"/>
      <c r="J163" s="19"/>
      <c r="K163" s="19"/>
      <c r="L163" s="19"/>
    </row>
    <row r="164">
      <c r="G164" s="19"/>
      <c r="J164" s="19"/>
      <c r="K164" s="19"/>
      <c r="L164" s="19"/>
    </row>
    <row r="165">
      <c r="G165" s="19"/>
      <c r="J165" s="19"/>
      <c r="K165" s="19"/>
      <c r="L165" s="19"/>
    </row>
    <row r="166">
      <c r="G166" s="19"/>
      <c r="J166" s="19"/>
      <c r="K166" s="19"/>
      <c r="L166" s="19"/>
    </row>
    <row r="167">
      <c r="G167" s="19"/>
      <c r="J167" s="19"/>
      <c r="K167" s="19"/>
      <c r="L167" s="19"/>
    </row>
    <row r="168">
      <c r="G168" s="19"/>
      <c r="J168" s="19"/>
      <c r="K168" s="19"/>
      <c r="L168" s="19"/>
    </row>
    <row r="169">
      <c r="G169" s="19"/>
      <c r="J169" s="19"/>
      <c r="K169" s="19"/>
      <c r="L169" s="19"/>
    </row>
    <row r="170">
      <c r="G170" s="19"/>
      <c r="J170" s="19"/>
      <c r="K170" s="19"/>
      <c r="L170" s="19"/>
    </row>
    <row r="171">
      <c r="G171" s="19"/>
      <c r="J171" s="19"/>
      <c r="K171" s="19"/>
      <c r="L171" s="19"/>
    </row>
    <row r="172">
      <c r="G172" s="19"/>
      <c r="J172" s="19"/>
      <c r="K172" s="19"/>
      <c r="L172" s="19"/>
    </row>
    <row r="173">
      <c r="G173" s="19"/>
      <c r="J173" s="19"/>
      <c r="K173" s="19"/>
      <c r="L173" s="19"/>
    </row>
    <row r="174">
      <c r="G174" s="19"/>
      <c r="J174" s="19"/>
      <c r="K174" s="19"/>
      <c r="L174" s="19"/>
    </row>
    <row r="175">
      <c r="G175" s="19"/>
      <c r="J175" s="19"/>
      <c r="K175" s="19"/>
      <c r="L175" s="19"/>
    </row>
    <row r="176">
      <c r="G176" s="19"/>
      <c r="J176" s="19"/>
      <c r="K176" s="19"/>
      <c r="L176" s="19"/>
    </row>
    <row r="177">
      <c r="G177" s="19"/>
      <c r="J177" s="19"/>
      <c r="K177" s="19"/>
      <c r="L177" s="19"/>
    </row>
    <row r="178">
      <c r="G178" s="19"/>
      <c r="J178" s="19"/>
      <c r="K178" s="19"/>
      <c r="L178" s="19"/>
    </row>
    <row r="179">
      <c r="G179" s="19"/>
      <c r="J179" s="19"/>
      <c r="K179" s="19"/>
      <c r="L179" s="19"/>
    </row>
    <row r="180">
      <c r="G180" s="19"/>
      <c r="J180" s="19"/>
      <c r="K180" s="19"/>
      <c r="L180" s="19"/>
    </row>
    <row r="181">
      <c r="G181" s="19"/>
      <c r="J181" s="19"/>
      <c r="K181" s="19"/>
      <c r="L181" s="19"/>
    </row>
    <row r="182">
      <c r="G182" s="19"/>
      <c r="J182" s="19"/>
      <c r="K182" s="19"/>
      <c r="L182" s="19"/>
    </row>
    <row r="183">
      <c r="G183" s="19"/>
      <c r="J183" s="19"/>
      <c r="K183" s="19"/>
      <c r="L183" s="19"/>
    </row>
    <row r="184">
      <c r="G184" s="19"/>
      <c r="J184" s="19"/>
      <c r="K184" s="19"/>
      <c r="L184" s="19"/>
    </row>
    <row r="185">
      <c r="G185" s="19"/>
      <c r="J185" s="19"/>
      <c r="K185" s="19"/>
      <c r="L185" s="19"/>
    </row>
    <row r="186">
      <c r="G186" s="19"/>
      <c r="J186" s="19"/>
      <c r="K186" s="19"/>
      <c r="L186" s="19"/>
    </row>
    <row r="187">
      <c r="G187" s="19"/>
      <c r="J187" s="19"/>
      <c r="K187" s="19"/>
      <c r="L187" s="19"/>
    </row>
    <row r="188">
      <c r="G188" s="19"/>
      <c r="J188" s="19"/>
      <c r="K188" s="19"/>
      <c r="L188" s="19"/>
    </row>
    <row r="189">
      <c r="G189" s="19"/>
      <c r="J189" s="19"/>
      <c r="K189" s="19"/>
      <c r="L189" s="19"/>
    </row>
    <row r="190">
      <c r="G190" s="19"/>
      <c r="J190" s="19"/>
      <c r="K190" s="19"/>
      <c r="L190" s="19"/>
    </row>
    <row r="191">
      <c r="G191" s="19"/>
      <c r="J191" s="19"/>
      <c r="K191" s="19"/>
      <c r="L191" s="19"/>
    </row>
    <row r="192">
      <c r="G192" s="19"/>
      <c r="J192" s="19"/>
      <c r="K192" s="19"/>
      <c r="L192" s="19"/>
    </row>
    <row r="193">
      <c r="G193" s="19"/>
      <c r="J193" s="19"/>
      <c r="K193" s="19"/>
      <c r="L193" s="19"/>
    </row>
    <row r="194">
      <c r="G194" s="19"/>
      <c r="J194" s="19"/>
      <c r="K194" s="19"/>
      <c r="L194" s="19"/>
    </row>
    <row r="195">
      <c r="G195" s="19"/>
      <c r="J195" s="19"/>
      <c r="K195" s="19"/>
      <c r="L195" s="19"/>
    </row>
    <row r="196">
      <c r="G196" s="19"/>
      <c r="J196" s="19"/>
      <c r="K196" s="19"/>
      <c r="L196" s="19"/>
    </row>
    <row r="197">
      <c r="G197" s="19"/>
      <c r="J197" s="19"/>
      <c r="K197" s="19"/>
      <c r="L197" s="19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10"/>
    <hyperlink r:id="rId9" ref="I11"/>
    <hyperlink r:id="rId10" ref="I12"/>
    <hyperlink r:id="rId11" ref="I13"/>
    <hyperlink r:id="rId12" ref="I14"/>
    <hyperlink r:id="rId13" ref="I15"/>
    <hyperlink r:id="rId14" ref="I16"/>
    <hyperlink r:id="rId15" ref="I17"/>
    <hyperlink r:id="rId16" ref="I18"/>
    <hyperlink r:id="rId17" ref="I19"/>
    <hyperlink r:id="rId18" ref="I20"/>
    <hyperlink r:id="rId19" ref="I21"/>
    <hyperlink r:id="rId20" ref="I22"/>
    <hyperlink r:id="rId21" ref="I23"/>
    <hyperlink r:id="rId22" ref="I24"/>
    <hyperlink r:id="rId23" ref="I25"/>
    <hyperlink r:id="rId24" ref="I26"/>
    <hyperlink r:id="rId25" ref="I27"/>
    <hyperlink r:id="rId26" ref="I28"/>
    <hyperlink r:id="rId27" ref="I29"/>
    <hyperlink r:id="rId28" ref="I30"/>
    <hyperlink r:id="rId29" ref="I31"/>
    <hyperlink r:id="rId30" ref="I32"/>
    <hyperlink r:id="rId31" ref="I33"/>
    <hyperlink r:id="rId32" ref="I34"/>
    <hyperlink r:id="rId33" ref="I35"/>
    <hyperlink r:id="rId34" ref="I36"/>
    <hyperlink r:id="rId35" ref="I37"/>
    <hyperlink r:id="rId36" ref="I38"/>
    <hyperlink r:id="rId37" ref="I40"/>
    <hyperlink r:id="rId38" ref="I41"/>
    <hyperlink r:id="rId39" ref="I42"/>
    <hyperlink r:id="rId40" ref="I43"/>
    <hyperlink r:id="rId41" ref="I44"/>
    <hyperlink r:id="rId42" ref="I45"/>
    <hyperlink r:id="rId43" ref="I46"/>
    <hyperlink r:id="rId44" ref="I47"/>
    <hyperlink r:id="rId45" ref="I48"/>
    <hyperlink r:id="rId46" ref="I49"/>
    <hyperlink r:id="rId47" ref="I50"/>
    <hyperlink r:id="rId48" ref="I51"/>
    <hyperlink r:id="rId49" ref="I52"/>
    <hyperlink r:id="rId50" ref="I53"/>
    <hyperlink r:id="rId51" ref="I54"/>
    <hyperlink r:id="rId52" ref="I55"/>
    <hyperlink r:id="rId53" ref="I56"/>
    <hyperlink r:id="rId54" ref="I57"/>
    <hyperlink r:id="rId55" ref="I58"/>
    <hyperlink r:id="rId56" ref="I59"/>
    <hyperlink r:id="rId57" ref="I60"/>
    <hyperlink r:id="rId58" ref="I61"/>
    <hyperlink r:id="rId59" ref="I62"/>
    <hyperlink r:id="rId60" ref="I63"/>
    <hyperlink r:id="rId61" ref="I64"/>
    <hyperlink r:id="rId62" ref="I65"/>
    <hyperlink r:id="rId63" ref="I67"/>
    <hyperlink r:id="rId64" ref="I68"/>
    <hyperlink r:id="rId65" ref="I69"/>
    <hyperlink r:id="rId66" ref="I70"/>
    <hyperlink r:id="rId67" ref="I71"/>
    <hyperlink r:id="rId68" ref="I72"/>
    <hyperlink r:id="rId69" ref="I74"/>
    <hyperlink r:id="rId70" ref="I76"/>
    <hyperlink r:id="rId71" ref="I77"/>
    <hyperlink r:id="rId72" ref="I78"/>
    <hyperlink r:id="rId73" ref="I79"/>
    <hyperlink r:id="rId74" ref="I80"/>
    <hyperlink r:id="rId75" ref="I81"/>
    <hyperlink r:id="rId76" ref="I82"/>
    <hyperlink r:id="rId77" ref="I83"/>
    <hyperlink r:id="rId78" ref="I84"/>
    <hyperlink r:id="rId79" ref="I87"/>
    <hyperlink r:id="rId80" ref="I88"/>
    <hyperlink r:id="rId81" ref="I89"/>
    <hyperlink r:id="rId82" ref="I90"/>
    <hyperlink r:id="rId83" ref="I91"/>
    <hyperlink r:id="rId84" ref="I93"/>
    <hyperlink r:id="rId85" ref="I96"/>
    <hyperlink r:id="rId86" ref="I97"/>
  </hyperlinks>
  <drawing r:id="rId87"/>
  <tableParts count="1">
    <tablePart r:id="rId8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13"/>
    <col customWidth="1" min="3" max="3" width="9.38"/>
    <col customWidth="1" min="4" max="4" width="7.63"/>
  </cols>
  <sheetData>
    <row r="1">
      <c r="A1" s="20" t="s">
        <v>2</v>
      </c>
      <c r="B1" s="20" t="s">
        <v>337</v>
      </c>
      <c r="C1" s="20" t="s">
        <v>338</v>
      </c>
      <c r="D1" s="21" t="s">
        <v>339</v>
      </c>
      <c r="E1" s="21" t="s">
        <v>340</v>
      </c>
    </row>
    <row r="2">
      <c r="A2" s="22" t="s">
        <v>35</v>
      </c>
      <c r="B2" s="22">
        <v>17.0</v>
      </c>
      <c r="C2" s="23">
        <f>COUNTIF('Form Responses 1'!C:C, A2)</f>
        <v>16</v>
      </c>
      <c r="D2" s="24">
        <f t="shared" ref="D2:D6" si="1">B2-C2</f>
        <v>1</v>
      </c>
      <c r="E2" s="25">
        <f t="shared" ref="E2:E7" si="2">C2/B2</f>
        <v>0.9411764706</v>
      </c>
    </row>
    <row r="3">
      <c r="A3" s="22" t="s">
        <v>43</v>
      </c>
      <c r="B3" s="22">
        <v>33.0</v>
      </c>
      <c r="C3" s="22">
        <f>COUNTIF('Form Responses 1'!C:C, A3)</f>
        <v>16</v>
      </c>
      <c r="D3" s="24">
        <f t="shared" si="1"/>
        <v>17</v>
      </c>
      <c r="E3" s="25">
        <f t="shared" si="2"/>
        <v>0.4848484848</v>
      </c>
    </row>
    <row r="4">
      <c r="A4" s="22" t="s">
        <v>31</v>
      </c>
      <c r="B4" s="22">
        <v>21.0</v>
      </c>
      <c r="C4" s="23">
        <f>COUNTIF('Form Responses 1'!C:C, A4)+3</f>
        <v>21</v>
      </c>
      <c r="D4" s="24">
        <f t="shared" si="1"/>
        <v>0</v>
      </c>
      <c r="E4" s="25">
        <f t="shared" si="2"/>
        <v>1</v>
      </c>
    </row>
    <row r="5">
      <c r="A5" s="22" t="s">
        <v>20</v>
      </c>
      <c r="B5" s="22">
        <v>52.0</v>
      </c>
      <c r="C5" s="22">
        <f>COUNTIF('Form Responses 1'!C:C, A5)</f>
        <v>22</v>
      </c>
      <c r="D5" s="24">
        <f t="shared" si="1"/>
        <v>30</v>
      </c>
      <c r="E5" s="25">
        <f t="shared" si="2"/>
        <v>0.4230769231</v>
      </c>
    </row>
    <row r="6">
      <c r="A6" s="22" t="s">
        <v>13</v>
      </c>
      <c r="B6" s="22">
        <v>51.0</v>
      </c>
      <c r="C6" s="23">
        <f>COUNTIF('Form Responses 1'!C:C, A6)+1</f>
        <v>25</v>
      </c>
      <c r="D6" s="24">
        <f t="shared" si="1"/>
        <v>26</v>
      </c>
      <c r="E6" s="25">
        <f t="shared" si="2"/>
        <v>0.4901960784</v>
      </c>
    </row>
    <row r="7">
      <c r="A7" s="26" t="s">
        <v>341</v>
      </c>
      <c r="B7" s="27">
        <f t="shared" ref="B7:D7" si="3">SUM(B2:B6)</f>
        <v>174</v>
      </c>
      <c r="C7" s="27">
        <f t="shared" si="3"/>
        <v>100</v>
      </c>
      <c r="D7" s="28">
        <f t="shared" si="3"/>
        <v>74</v>
      </c>
      <c r="E7" s="29">
        <f t="shared" si="2"/>
        <v>0.5747126437</v>
      </c>
    </row>
  </sheetData>
  <drawing r:id="rId4"/>
  <legacyDrawing r:id="rId5"/>
</worksheet>
</file>