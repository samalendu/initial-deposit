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2" sheetId="1" r:id="rId4"/>
  </sheets>
</workbook>
</file>

<file path=xl/sharedStrings.xml><?xml version="1.0" encoding="utf-8"?>
<sst xmlns="http://schemas.openxmlformats.org/spreadsheetml/2006/main" uniqueCount="202">
  <si>
    <t>Table 1</t>
  </si>
  <si>
    <t>Name</t>
  </si>
  <si>
    <t>Branch</t>
  </si>
  <si>
    <t>Roll Number</t>
  </si>
  <si>
    <t>Initial Deposit Amount Paid</t>
  </si>
  <si>
    <t>Are you planning to attend with Family?</t>
  </si>
  <si>
    <t>Number of Adults (12 years and above) attending, including yourself</t>
  </si>
  <si>
    <t>Total number of kids below 12 years attending</t>
  </si>
  <si>
    <t>Total</t>
  </si>
  <si>
    <t>Outstanding</t>
  </si>
  <si>
    <t>Samalendu Mahakud</t>
  </si>
  <si>
    <t>Mechanical</t>
  </si>
  <si>
    <t>32ME/97</t>
  </si>
  <si>
    <t>No</t>
  </si>
  <si>
    <t>Sujit Mohanty</t>
  </si>
  <si>
    <t>Electrical</t>
  </si>
  <si>
    <t>12EL/97</t>
  </si>
  <si>
    <t>Chinmoy Parida</t>
  </si>
  <si>
    <t>25EL/97</t>
  </si>
  <si>
    <t>Yes</t>
  </si>
  <si>
    <t xml:space="preserve">Dipti Mishra </t>
  </si>
  <si>
    <t>Civil</t>
  </si>
  <si>
    <t>07CE/97</t>
  </si>
  <si>
    <t xml:space="preserve">Swaroop Ray </t>
  </si>
  <si>
    <t>Archi</t>
  </si>
  <si>
    <t>13AR/97</t>
  </si>
  <si>
    <t>Tapas Bastia</t>
  </si>
  <si>
    <t>03EL/97</t>
  </si>
  <si>
    <t xml:space="preserve">Subhankar Ghosh </t>
  </si>
  <si>
    <t>I&amp;E</t>
  </si>
  <si>
    <t>09IE/97</t>
  </si>
  <si>
    <t xml:space="preserve">Pallavi Vajinepalli </t>
  </si>
  <si>
    <t xml:space="preserve">08CE97 </t>
  </si>
  <si>
    <t>Lalit Kumar Nayak</t>
  </si>
  <si>
    <t>39ME/97</t>
  </si>
  <si>
    <t>Alakananda Mahapatra</t>
  </si>
  <si>
    <t>19EL/97</t>
  </si>
  <si>
    <t xml:space="preserve">Aswini Kumar Mohapatra </t>
  </si>
  <si>
    <t>42ME/97</t>
  </si>
  <si>
    <t>Sumitra Kanungo</t>
  </si>
  <si>
    <t>17EL/97</t>
  </si>
  <si>
    <t>Chinmaya Nayak</t>
  </si>
  <si>
    <t>19IE/97</t>
  </si>
  <si>
    <t>Aditya Bali</t>
  </si>
  <si>
    <t>23EL/97</t>
  </si>
  <si>
    <t>Satish Kumar Sahoo</t>
  </si>
  <si>
    <t>27ME/97</t>
  </si>
  <si>
    <t>Subrat Panda</t>
  </si>
  <si>
    <t>61el/97</t>
  </si>
  <si>
    <t>Manas Mishra</t>
  </si>
  <si>
    <t>25ME/97</t>
  </si>
  <si>
    <t>Chinmaya Tripathy</t>
  </si>
  <si>
    <t>Not remember</t>
  </si>
  <si>
    <t>Arijit Sur</t>
  </si>
  <si>
    <t>33EL/97</t>
  </si>
  <si>
    <t>Bagmi Khuntia</t>
  </si>
  <si>
    <t>02AR/97</t>
  </si>
  <si>
    <t>Payel Pal</t>
  </si>
  <si>
    <t>19Arch/97</t>
  </si>
  <si>
    <t>JAI PRAKASH MIRDHA</t>
  </si>
  <si>
    <t>02IE/97</t>
  </si>
  <si>
    <t>Deba Karan Agrawala</t>
  </si>
  <si>
    <t>43EL/97</t>
  </si>
  <si>
    <t>Shilpa Vadlamudi</t>
  </si>
  <si>
    <t>55EL/97</t>
  </si>
  <si>
    <t>Jayshree Routray</t>
  </si>
  <si>
    <t>15 EL/97</t>
  </si>
  <si>
    <t>Babulal Sahu</t>
  </si>
  <si>
    <t>26Ce/97</t>
  </si>
  <si>
    <t xml:space="preserve">Ashish Mohapatra </t>
  </si>
  <si>
    <t>Surajit Sahu</t>
  </si>
  <si>
    <t>09CE/97</t>
  </si>
  <si>
    <t>Nalini Rani Sabara</t>
  </si>
  <si>
    <t>01CE/97</t>
  </si>
  <si>
    <t>Kamesh</t>
  </si>
  <si>
    <t>31EL/97</t>
  </si>
  <si>
    <t>Saroj kumar Lenka</t>
  </si>
  <si>
    <t>23CE/97</t>
  </si>
  <si>
    <t>Rajashree Behera</t>
  </si>
  <si>
    <t>21ME/97</t>
  </si>
  <si>
    <t>Debi Jena</t>
  </si>
  <si>
    <t>26ME/97</t>
  </si>
  <si>
    <t xml:space="preserve">Sumita Satpathy </t>
  </si>
  <si>
    <t>3AR/97</t>
  </si>
  <si>
    <t>Partha Siddharth</t>
  </si>
  <si>
    <t>07AR/97</t>
  </si>
  <si>
    <t>Manoj Maheshwari</t>
  </si>
  <si>
    <t>49ME/97</t>
  </si>
  <si>
    <t xml:space="preserve">Chintamani sethi </t>
  </si>
  <si>
    <t>2CE/97</t>
  </si>
  <si>
    <t>Prakash Rao</t>
  </si>
  <si>
    <t>08ME/97</t>
  </si>
  <si>
    <t>PREMANANDA MAITY</t>
  </si>
  <si>
    <t>46ME/97 &amp; 4ME/97</t>
  </si>
  <si>
    <t>Anupam Saha</t>
  </si>
  <si>
    <t>12ME/97</t>
  </si>
  <si>
    <t xml:space="preserve">Devulapalli Srinivas </t>
  </si>
  <si>
    <t>23IE/97</t>
  </si>
  <si>
    <t xml:space="preserve">DEBARAJ BEHERA </t>
  </si>
  <si>
    <t>06EL/97</t>
  </si>
  <si>
    <t xml:space="preserve">Sarat Chandra Ghadei </t>
  </si>
  <si>
    <t>04CE/97</t>
  </si>
  <si>
    <t xml:space="preserve">Pravas Kumar Das </t>
  </si>
  <si>
    <t>24CE/97</t>
  </si>
  <si>
    <t>Bandita Paikaray</t>
  </si>
  <si>
    <t>15CD/97</t>
  </si>
  <si>
    <t>Purojeet Mishra</t>
  </si>
  <si>
    <t>Amit kiran Das</t>
  </si>
  <si>
    <t>39EL/97</t>
  </si>
  <si>
    <t>debi prasad sahu</t>
  </si>
  <si>
    <t>10AR/97</t>
  </si>
  <si>
    <t>Preetam Kumar</t>
  </si>
  <si>
    <t xml:space="preserve">Rama Krishna Patnaik </t>
  </si>
  <si>
    <t>48ME/97</t>
  </si>
  <si>
    <t>Sabyasachi Misra</t>
  </si>
  <si>
    <t>33ME/97</t>
  </si>
  <si>
    <t xml:space="preserve">Devasmita Gantayet </t>
  </si>
  <si>
    <t>Atul Sinha</t>
  </si>
  <si>
    <t>28 IE/97</t>
  </si>
  <si>
    <t xml:space="preserve">Somasekhar Sahoo </t>
  </si>
  <si>
    <t>25CE97</t>
  </si>
  <si>
    <t>Rajesh Kumar Dash</t>
  </si>
  <si>
    <t>21CE/97</t>
  </si>
  <si>
    <t>Ipsita Mishra</t>
  </si>
  <si>
    <t>13CE/97</t>
  </si>
  <si>
    <t>Jyoti prakash mohanty</t>
  </si>
  <si>
    <t>27CE/97</t>
  </si>
  <si>
    <t>SMRUTI RATH</t>
  </si>
  <si>
    <t>14CE/97</t>
  </si>
  <si>
    <t>Md samsul huq</t>
  </si>
  <si>
    <t>28EL/97</t>
  </si>
  <si>
    <t>Avaya Kumar Nayak</t>
  </si>
  <si>
    <t>27EL/97</t>
  </si>
  <si>
    <t xml:space="preserve">Basant Kumar Behera </t>
  </si>
  <si>
    <t>05EL/97</t>
  </si>
  <si>
    <t xml:space="preserve">Radha Charan Kisku </t>
  </si>
  <si>
    <t>01EL/97</t>
  </si>
  <si>
    <t>Bibhuti Bhusan Das</t>
  </si>
  <si>
    <t xml:space="preserve">Monalisa Kar </t>
  </si>
  <si>
    <t>10ie97</t>
  </si>
  <si>
    <t>Rasmita Bhole</t>
  </si>
  <si>
    <t xml:space="preserve">Smrutiranjan pattanayak </t>
  </si>
  <si>
    <t>14 Archi /97</t>
  </si>
  <si>
    <t>Sidhartha Patnaik</t>
  </si>
  <si>
    <t>15AR/97</t>
  </si>
  <si>
    <t>Madhusmita padhi</t>
  </si>
  <si>
    <t xml:space="preserve">Sanjay Kumar Behera </t>
  </si>
  <si>
    <t>5ME/97</t>
  </si>
  <si>
    <t>Amarendra Padhee</t>
  </si>
  <si>
    <t>19AR/97</t>
  </si>
  <si>
    <t>Debaraj Das</t>
  </si>
  <si>
    <t>08AR/97</t>
  </si>
  <si>
    <t>SURAJIT DAS</t>
  </si>
  <si>
    <t>16 ARCH/97</t>
  </si>
  <si>
    <t>SRINIBASH PATRA</t>
  </si>
  <si>
    <t>11AR/97</t>
  </si>
  <si>
    <t>SHARMISTHA DAS</t>
  </si>
  <si>
    <t>12CE/97</t>
  </si>
  <si>
    <t>Basna Jaisingh</t>
  </si>
  <si>
    <t>18ME/97</t>
  </si>
  <si>
    <t xml:space="preserve">Tapas Kumar Tripathy </t>
  </si>
  <si>
    <t>30IE/97</t>
  </si>
  <si>
    <t>Mousumi Sahu</t>
  </si>
  <si>
    <t>12ie/97</t>
  </si>
  <si>
    <t>JITENDRA KUMAR ORAM</t>
  </si>
  <si>
    <t>01ME/97</t>
  </si>
  <si>
    <t>Santosh Behera</t>
  </si>
  <si>
    <t>26EL/97</t>
  </si>
  <si>
    <t xml:space="preserve">PRANAB BISWAL </t>
  </si>
  <si>
    <t>45 ME/97</t>
  </si>
  <si>
    <t xml:space="preserve">Arjyashree </t>
  </si>
  <si>
    <t>41ME/97</t>
  </si>
  <si>
    <t>Dinesh Kumar Dash</t>
  </si>
  <si>
    <t>17IE/97</t>
  </si>
  <si>
    <t xml:space="preserve">Subhasis Mohanty </t>
  </si>
  <si>
    <t>31ME/97</t>
  </si>
  <si>
    <t xml:space="preserve">JYOTIRMAYEE Majhi </t>
  </si>
  <si>
    <t>04IE/97</t>
  </si>
  <si>
    <t xml:space="preserve">SAURYA KUMAR DALAI </t>
  </si>
  <si>
    <t>06IE/97</t>
  </si>
  <si>
    <t>Deepika Rout</t>
  </si>
  <si>
    <t>18EL/97</t>
  </si>
  <si>
    <t>Brijesh Kumar Dalai</t>
  </si>
  <si>
    <t>09ME/97</t>
  </si>
  <si>
    <t>Ananta Patel</t>
  </si>
  <si>
    <t>17ARCH/97</t>
  </si>
  <si>
    <t>Muralidhar sarangi</t>
  </si>
  <si>
    <t>34M/97</t>
  </si>
  <si>
    <t>LOPAMUDRA B. PANDA</t>
  </si>
  <si>
    <t>05ARCH/97</t>
  </si>
  <si>
    <t>Dipti Kar</t>
  </si>
  <si>
    <t>16EL/97</t>
  </si>
  <si>
    <t>Santosh kumar sabar</t>
  </si>
  <si>
    <t>03IE/97</t>
  </si>
  <si>
    <t>SHASHANKA SEKHAR DASH</t>
  </si>
  <si>
    <t>27IE/97</t>
  </si>
  <si>
    <t>Ashok dash</t>
  </si>
  <si>
    <t>05IE</t>
  </si>
  <si>
    <t>Sanjit kumar Rout</t>
  </si>
  <si>
    <t>18AR97</t>
  </si>
  <si>
    <t>SUNIL KUMAR TUDU</t>
  </si>
  <si>
    <t>01ME/96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</si>
</sst>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[$₹-4009]0"/>
  </numFmts>
  <fonts count="5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sz val="10"/>
      <color indexed="9"/>
      <name val="Arial"/>
    </font>
    <font>
      <b val="1"/>
      <sz val="10"/>
      <color indexed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2">
    <border>
      <left/>
      <right/>
      <top/>
      <bottom/>
      <diagonal/>
    </border>
    <border>
      <left>
        <color indexed="8"/>
      </left>
      <right>
        <color indexed="8"/>
      </right>
      <top>
        <color indexed="8"/>
      </top>
      <bottom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2" applyNumberFormat="0" applyFont="1" applyFill="0" applyBorder="0" applyAlignment="1" applyProtection="0">
      <alignment horizontal="center" vertical="center"/>
    </xf>
    <xf numFmtId="49" fontId="3" fillId="2" borderId="1" applyNumberFormat="1" applyFont="1" applyFill="1" applyBorder="1" applyAlignment="1" applyProtection="0">
      <alignment horizontal="left" vertical="center" wrapText="1"/>
    </xf>
    <xf numFmtId="49" fontId="3" fillId="2" borderId="1" applyNumberFormat="1" applyFont="1" applyFill="1" applyBorder="1" applyAlignment="1" applyProtection="0">
      <alignment horizontal="right" vertical="center" wrapText="1"/>
    </xf>
    <xf numFmtId="49" fontId="4" fillId="3" borderId="1" applyNumberFormat="1" applyFont="1" applyFill="1" applyBorder="1" applyAlignment="1" applyProtection="0">
      <alignment vertical="center"/>
    </xf>
    <xf numFmtId="49" fontId="0" fillId="3" borderId="1" applyNumberFormat="1" applyFont="1" applyFill="1" applyBorder="1" applyAlignment="1" applyProtection="0">
      <alignment vertical="center"/>
    </xf>
    <xf numFmtId="59" fontId="0" fillId="3" borderId="1" applyNumberFormat="1" applyFont="1" applyFill="1" applyBorder="1" applyAlignment="1" applyProtection="0">
      <alignment vertical="center"/>
    </xf>
    <xf numFmtId="49" fontId="0" fillId="3" borderId="1" applyNumberFormat="1" applyFont="1" applyFill="1" applyBorder="1" applyAlignment="1" applyProtection="0">
      <alignment horizontal="right" vertical="center"/>
    </xf>
    <xf numFmtId="0" fontId="0" fillId="3" borderId="1" applyNumberFormat="0" applyFont="1" applyFill="1" applyBorder="1" applyAlignment="1" applyProtection="0">
      <alignment horizontal="right" vertical="center"/>
    </xf>
    <xf numFmtId="49" fontId="4" fillId="4" borderId="1" applyNumberFormat="1" applyFont="1" applyFill="1" applyBorder="1" applyAlignment="1" applyProtection="0">
      <alignment vertical="center"/>
    </xf>
    <xf numFmtId="49" fontId="0" fillId="4" borderId="1" applyNumberFormat="1" applyFont="1" applyFill="1" applyBorder="1" applyAlignment="1" applyProtection="0">
      <alignment vertical="center"/>
    </xf>
    <xf numFmtId="59" fontId="0" fillId="4" borderId="1" applyNumberFormat="1" applyFont="1" applyFill="1" applyBorder="1" applyAlignment="1" applyProtection="0">
      <alignment vertical="center"/>
    </xf>
    <xf numFmtId="49" fontId="0" fillId="4" borderId="1" applyNumberFormat="1" applyFont="1" applyFill="1" applyBorder="1" applyAlignment="1" applyProtection="0">
      <alignment horizontal="right" vertical="center"/>
    </xf>
    <xf numFmtId="0" fontId="0" fillId="4" borderId="1" applyNumberFormat="0" applyFont="1" applyFill="1" applyBorder="1" applyAlignment="1" applyProtection="0">
      <alignment horizontal="right" vertical="center"/>
    </xf>
    <xf numFmtId="0" fontId="0" fillId="3" borderId="1" applyNumberFormat="1" applyFont="1" applyFill="1" applyBorder="1" applyAlignment="1" applyProtection="0">
      <alignment horizontal="right" vertical="center"/>
    </xf>
    <xf numFmtId="0" fontId="0" fillId="4" borderId="1" applyNumberFormat="1" applyFont="1" applyFill="1" applyBorder="1" applyAlignment="1" applyProtection="0">
      <alignment horizontal="right" vertical="center"/>
    </xf>
    <xf numFmtId="0" fontId="0" borderId="1" applyNumberFormat="0" applyFont="1" applyFill="0" applyBorder="1" applyAlignment="1" applyProtection="0">
      <alignment vertical="bottom"/>
    </xf>
    <xf numFmtId="0" fontId="0" fillId="4" borderId="1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3f86"/>
      <rgbColor rgb="fff8f9f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I9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45" customHeight="1" outlineLevelRow="0" outlineLevelCol="0"/>
  <cols>
    <col min="1" max="1" width="24" style="1" customWidth="1"/>
    <col min="2" max="9" width="16.3516" style="1" customWidth="1"/>
    <col min="10" max="16384" width="16.3516" style="1" customWidth="1"/>
  </cols>
  <sheetData>
    <row r="1" ht="15.55" customHeight="1">
      <c r="A1" t="s" s="2">
        <v>0</v>
      </c>
      <c r="B1" s="2"/>
      <c r="C1" s="2"/>
      <c r="D1" s="2"/>
      <c r="E1" s="2"/>
      <c r="F1" s="2"/>
      <c r="G1" s="2"/>
      <c r="H1" s="2"/>
      <c r="I1" s="2"/>
    </row>
    <row r="2" ht="45.65" customHeight="1">
      <c r="A2" t="s" s="3">
        <v>1</v>
      </c>
      <c r="B2" t="s" s="3">
        <v>2</v>
      </c>
      <c r="C2" t="s" s="3">
        <v>3</v>
      </c>
      <c r="D2" t="s" s="3">
        <v>4</v>
      </c>
      <c r="E2" t="s" s="4">
        <v>5</v>
      </c>
      <c r="F2" t="s" s="4">
        <v>6</v>
      </c>
      <c r="G2" t="s" s="4">
        <v>7</v>
      </c>
      <c r="H2" t="s" s="4">
        <v>8</v>
      </c>
      <c r="I2" t="s" s="4">
        <v>9</v>
      </c>
    </row>
    <row r="3" ht="12.65" customHeight="1">
      <c r="A3" t="s" s="5">
        <v>10</v>
      </c>
      <c r="B3" t="s" s="6">
        <v>11</v>
      </c>
      <c r="C3" t="s" s="6">
        <v>12</v>
      </c>
      <c r="D3" s="7">
        <v>15000</v>
      </c>
      <c r="E3" t="s" s="8">
        <v>13</v>
      </c>
      <c r="F3" s="9"/>
      <c r="G3" s="9"/>
      <c r="H3" s="7">
        <f>IF(E3="No",18000,18000+(F3-1)*8000)</f>
        <v>18000</v>
      </c>
      <c r="I3" s="7">
        <f>H3-D3</f>
        <v>3000</v>
      </c>
    </row>
    <row r="4" ht="12.65" customHeight="1">
      <c r="A4" t="s" s="10">
        <v>14</v>
      </c>
      <c r="B4" t="s" s="11">
        <v>15</v>
      </c>
      <c r="C4" t="s" s="11">
        <v>16</v>
      </c>
      <c r="D4" s="12">
        <v>18000</v>
      </c>
      <c r="E4" t="s" s="13">
        <v>13</v>
      </c>
      <c r="F4" s="14"/>
      <c r="G4" s="14"/>
      <c r="H4" s="7">
        <f>IF(E4="No",18000,18000+(F4-1)*8000)</f>
        <v>18000</v>
      </c>
      <c r="I4" s="7">
        <f>H4-D4</f>
        <v>0</v>
      </c>
    </row>
    <row r="5" ht="12.65" customHeight="1">
      <c r="A5" t="s" s="5">
        <v>17</v>
      </c>
      <c r="B5" t="s" s="6">
        <v>15</v>
      </c>
      <c r="C5" t="s" s="6">
        <v>18</v>
      </c>
      <c r="D5" s="7">
        <v>15000</v>
      </c>
      <c r="E5" t="s" s="8">
        <v>19</v>
      </c>
      <c r="F5" s="15">
        <v>2</v>
      </c>
      <c r="G5" s="15">
        <v>1</v>
      </c>
      <c r="H5" s="7">
        <f>IF(E5="No",18000,18000+(F5-1)*8000)</f>
        <v>26000</v>
      </c>
      <c r="I5" s="7">
        <f>H5-D5</f>
        <v>11000</v>
      </c>
    </row>
    <row r="6" ht="12.65" customHeight="1">
      <c r="A6" t="s" s="10">
        <v>20</v>
      </c>
      <c r="B6" t="s" s="11">
        <v>21</v>
      </c>
      <c r="C6" t="s" s="11">
        <v>22</v>
      </c>
      <c r="D6" s="12">
        <v>15000</v>
      </c>
      <c r="E6" t="s" s="13">
        <v>13</v>
      </c>
      <c r="F6" s="14"/>
      <c r="G6" s="14"/>
      <c r="H6" s="7">
        <f>IF(E6="No",18000,18000+(F6-1)*8000)</f>
        <v>18000</v>
      </c>
      <c r="I6" s="7">
        <f>H6-D6</f>
        <v>3000</v>
      </c>
    </row>
    <row r="7" ht="12.65" customHeight="1">
      <c r="A7" t="s" s="5">
        <v>23</v>
      </c>
      <c r="B7" t="s" s="6">
        <v>24</v>
      </c>
      <c r="C7" t="s" s="6">
        <v>25</v>
      </c>
      <c r="D7" s="7">
        <v>18000</v>
      </c>
      <c r="E7" t="s" s="8">
        <v>13</v>
      </c>
      <c r="F7" s="9"/>
      <c r="G7" s="9"/>
      <c r="H7" s="7">
        <f>IF(E7="No",18000,18000+(F7-1)*8000)</f>
        <v>18000</v>
      </c>
      <c r="I7" s="7">
        <f>H7-D7</f>
        <v>0</v>
      </c>
    </row>
    <row r="8" ht="12.65" customHeight="1">
      <c r="A8" t="s" s="10">
        <v>26</v>
      </c>
      <c r="B8" t="s" s="11">
        <v>15</v>
      </c>
      <c r="C8" t="s" s="11">
        <v>27</v>
      </c>
      <c r="D8" s="12">
        <v>15000</v>
      </c>
      <c r="E8" t="s" s="13">
        <v>13</v>
      </c>
      <c r="F8" s="14"/>
      <c r="G8" s="14"/>
      <c r="H8" s="7">
        <f>IF(E8="No",18000,18000+(F8-1)*8000)</f>
        <v>18000</v>
      </c>
      <c r="I8" s="7">
        <f>H8-D8</f>
        <v>3000</v>
      </c>
    </row>
    <row r="9" ht="12.65" customHeight="1">
      <c r="A9" t="s" s="5">
        <v>28</v>
      </c>
      <c r="B9" t="s" s="6">
        <v>29</v>
      </c>
      <c r="C9" t="s" s="6">
        <v>30</v>
      </c>
      <c r="D9" s="7">
        <v>15000</v>
      </c>
      <c r="E9" t="s" s="8">
        <v>13</v>
      </c>
      <c r="F9" s="9"/>
      <c r="G9" s="9"/>
      <c r="H9" s="7">
        <f>IF(E9="No",18000,18000+(F9-1)*8000)</f>
        <v>18000</v>
      </c>
      <c r="I9" s="7">
        <f>H9-D9</f>
        <v>3000</v>
      </c>
    </row>
    <row r="10" ht="12.65" customHeight="1">
      <c r="A10" t="s" s="10">
        <v>31</v>
      </c>
      <c r="B10" t="s" s="11">
        <v>21</v>
      </c>
      <c r="C10" t="s" s="11">
        <v>32</v>
      </c>
      <c r="D10" s="12">
        <v>15000</v>
      </c>
      <c r="E10" t="s" s="13">
        <v>13</v>
      </c>
      <c r="F10" s="14"/>
      <c r="G10" s="14"/>
      <c r="H10" s="7">
        <f>IF(E10="No",18000,18000+(F10-1)*8000)</f>
        <v>18000</v>
      </c>
      <c r="I10" s="7">
        <f>H10-D10</f>
        <v>3000</v>
      </c>
    </row>
    <row r="11" ht="12.65" customHeight="1">
      <c r="A11" t="s" s="5">
        <v>33</v>
      </c>
      <c r="B11" t="s" s="6">
        <v>11</v>
      </c>
      <c r="C11" t="s" s="6">
        <v>34</v>
      </c>
      <c r="D11" s="7">
        <v>15000</v>
      </c>
      <c r="E11" t="s" s="8">
        <v>13</v>
      </c>
      <c r="F11" s="9"/>
      <c r="G11" s="9"/>
      <c r="H11" s="7">
        <f>IF(E11="No",18000,18000+(F11-1)*8000)</f>
        <v>18000</v>
      </c>
      <c r="I11" s="7">
        <f>H11-D11</f>
        <v>3000</v>
      </c>
    </row>
    <row r="12" ht="12.65" customHeight="1">
      <c r="A12" t="s" s="10">
        <v>35</v>
      </c>
      <c r="B12" t="s" s="11">
        <v>15</v>
      </c>
      <c r="C12" t="s" s="11">
        <v>36</v>
      </c>
      <c r="D12" s="12">
        <v>15000</v>
      </c>
      <c r="E12" t="s" s="13">
        <v>13</v>
      </c>
      <c r="F12" s="14"/>
      <c r="G12" s="14"/>
      <c r="H12" s="7">
        <f>IF(E12="No",18000,18000+(F12-1)*8000)</f>
        <v>18000</v>
      </c>
      <c r="I12" s="7">
        <f>H12-D12</f>
        <v>3000</v>
      </c>
    </row>
    <row r="13" ht="12.65" customHeight="1">
      <c r="A13" t="s" s="5">
        <v>37</v>
      </c>
      <c r="B13" t="s" s="6">
        <v>11</v>
      </c>
      <c r="C13" t="s" s="6">
        <v>38</v>
      </c>
      <c r="D13" s="7">
        <v>15000</v>
      </c>
      <c r="E13" t="s" s="8">
        <v>13</v>
      </c>
      <c r="F13" s="9"/>
      <c r="G13" s="9"/>
      <c r="H13" s="7">
        <f>IF(E13="No",18000,18000+(F13-1)*8000)</f>
        <v>18000</v>
      </c>
      <c r="I13" s="7">
        <f>H13-D13</f>
        <v>3000</v>
      </c>
    </row>
    <row r="14" ht="12.65" customHeight="1">
      <c r="A14" t="s" s="10">
        <v>39</v>
      </c>
      <c r="B14" t="s" s="11">
        <v>15</v>
      </c>
      <c r="C14" t="s" s="11">
        <v>40</v>
      </c>
      <c r="D14" s="12">
        <v>18000</v>
      </c>
      <c r="E14" t="s" s="13">
        <v>13</v>
      </c>
      <c r="F14" s="14"/>
      <c r="G14" s="14"/>
      <c r="H14" s="7">
        <f>IF(E14="No",18000,18000+(F14-1)*8000)</f>
        <v>18000</v>
      </c>
      <c r="I14" s="7">
        <f>H14-D14</f>
        <v>0</v>
      </c>
    </row>
    <row r="15" ht="12.65" customHeight="1">
      <c r="A15" t="s" s="5">
        <v>41</v>
      </c>
      <c r="B15" t="s" s="6">
        <v>29</v>
      </c>
      <c r="C15" t="s" s="6">
        <v>42</v>
      </c>
      <c r="D15" s="7">
        <v>15000</v>
      </c>
      <c r="E15" t="s" s="8">
        <v>13</v>
      </c>
      <c r="F15" s="9"/>
      <c r="G15" s="9"/>
      <c r="H15" s="7">
        <f>IF(E15="No",18000,18000+(F15-1)*8000)</f>
        <v>18000</v>
      </c>
      <c r="I15" s="7">
        <f>H15-D15</f>
        <v>3000</v>
      </c>
    </row>
    <row r="16" ht="12.65" customHeight="1">
      <c r="A16" t="s" s="10">
        <v>43</v>
      </c>
      <c r="B16" t="s" s="11">
        <v>15</v>
      </c>
      <c r="C16" t="s" s="11">
        <v>44</v>
      </c>
      <c r="D16" s="12">
        <v>26000</v>
      </c>
      <c r="E16" t="s" s="13">
        <v>19</v>
      </c>
      <c r="F16" s="16">
        <v>2</v>
      </c>
      <c r="G16" s="16">
        <v>2</v>
      </c>
      <c r="H16" s="7">
        <f>IF(E16="No",18000,18000+(F16-1)*8000)</f>
        <v>26000</v>
      </c>
      <c r="I16" s="7">
        <f>H16-D16</f>
        <v>0</v>
      </c>
    </row>
    <row r="17" ht="12.65" customHeight="1">
      <c r="A17" t="s" s="5">
        <v>45</v>
      </c>
      <c r="B17" t="s" s="6">
        <v>11</v>
      </c>
      <c r="C17" t="s" s="6">
        <v>46</v>
      </c>
      <c r="D17" s="7">
        <v>15000</v>
      </c>
      <c r="E17" t="s" s="8">
        <v>13</v>
      </c>
      <c r="F17" s="9"/>
      <c r="G17" s="9"/>
      <c r="H17" s="7">
        <f>IF(E17="No",18000,18000+(F17-1)*8000)</f>
        <v>18000</v>
      </c>
      <c r="I17" s="7">
        <f>H17-D17</f>
        <v>3000</v>
      </c>
    </row>
    <row r="18" ht="12.65" customHeight="1">
      <c r="A18" t="s" s="10">
        <v>47</v>
      </c>
      <c r="B18" t="s" s="11">
        <v>15</v>
      </c>
      <c r="C18" t="s" s="11">
        <v>48</v>
      </c>
      <c r="D18" s="12">
        <v>18000</v>
      </c>
      <c r="E18" t="s" s="13">
        <v>13</v>
      </c>
      <c r="F18" s="14"/>
      <c r="G18" s="14"/>
      <c r="H18" s="7">
        <f>IF(E18="No",18000,18000+(F18-1)*8000)</f>
        <v>18000</v>
      </c>
      <c r="I18" s="7">
        <f>H18-D18</f>
        <v>0</v>
      </c>
    </row>
    <row r="19" ht="12.65" customHeight="1">
      <c r="A19" t="s" s="5">
        <v>49</v>
      </c>
      <c r="B19" t="s" s="6">
        <v>11</v>
      </c>
      <c r="C19" t="s" s="6">
        <v>50</v>
      </c>
      <c r="D19" s="7">
        <v>15000</v>
      </c>
      <c r="E19" t="s" s="8">
        <v>13</v>
      </c>
      <c r="F19" s="9"/>
      <c r="G19" s="9"/>
      <c r="H19" s="7">
        <f>IF(E19="No",18000,18000+(F19-1)*8000)</f>
        <v>18000</v>
      </c>
      <c r="I19" s="7">
        <f>H19-D19</f>
        <v>3000</v>
      </c>
    </row>
    <row r="20" ht="12.65" customHeight="1">
      <c r="A20" t="s" s="10">
        <v>51</v>
      </c>
      <c r="B20" t="s" s="11">
        <v>29</v>
      </c>
      <c r="C20" t="s" s="11">
        <v>52</v>
      </c>
      <c r="D20" s="12">
        <v>8000</v>
      </c>
      <c r="E20" t="s" s="13">
        <v>13</v>
      </c>
      <c r="F20" s="14"/>
      <c r="G20" s="14"/>
      <c r="H20" s="7">
        <f>IF(E20="No",18000,18000+(F20-1)*8000)</f>
        <v>18000</v>
      </c>
      <c r="I20" s="7">
        <f>H20-D20</f>
        <v>10000</v>
      </c>
    </row>
    <row r="21" ht="12.65" customHeight="1">
      <c r="A21" t="s" s="5">
        <v>53</v>
      </c>
      <c r="B21" t="s" s="6">
        <v>15</v>
      </c>
      <c r="C21" t="s" s="6">
        <v>54</v>
      </c>
      <c r="D21" s="7">
        <v>15000</v>
      </c>
      <c r="E21" t="s" s="8">
        <v>13</v>
      </c>
      <c r="F21" s="9"/>
      <c r="G21" s="9"/>
      <c r="H21" s="7">
        <f>IF(E21="No",18000,18000+(F21-1)*8000)</f>
        <v>18000</v>
      </c>
      <c r="I21" s="7">
        <f>H21-D21</f>
        <v>3000</v>
      </c>
    </row>
    <row r="22" ht="12.65" customHeight="1">
      <c r="A22" t="s" s="10">
        <v>55</v>
      </c>
      <c r="B22" t="s" s="11">
        <v>24</v>
      </c>
      <c r="C22" t="s" s="11">
        <v>56</v>
      </c>
      <c r="D22" s="12">
        <v>8000</v>
      </c>
      <c r="E22" t="s" s="13">
        <v>19</v>
      </c>
      <c r="F22" s="16">
        <v>1</v>
      </c>
      <c r="G22" s="16">
        <v>0</v>
      </c>
      <c r="H22" s="7">
        <f>IF(E22="No",18000,18000+(F22-1)*8000)</f>
        <v>18000</v>
      </c>
      <c r="I22" s="7">
        <f>H22-D22</f>
        <v>10000</v>
      </c>
    </row>
    <row r="23" ht="12.65" customHeight="1">
      <c r="A23" t="s" s="5">
        <v>57</v>
      </c>
      <c r="B23" t="s" s="6">
        <v>24</v>
      </c>
      <c r="C23" t="s" s="6">
        <v>58</v>
      </c>
      <c r="D23" s="7">
        <v>8000</v>
      </c>
      <c r="E23" t="s" s="8">
        <v>13</v>
      </c>
      <c r="F23" s="9"/>
      <c r="G23" s="9"/>
      <c r="H23" s="7">
        <f>IF(E23="No",18000,18000+(F23-1)*8000)</f>
        <v>18000</v>
      </c>
      <c r="I23" s="7">
        <f>H23-D23</f>
        <v>10000</v>
      </c>
    </row>
    <row r="24" ht="12.65" customHeight="1">
      <c r="A24" t="s" s="10">
        <v>59</v>
      </c>
      <c r="B24" t="s" s="11">
        <v>29</v>
      </c>
      <c r="C24" t="s" s="11">
        <v>60</v>
      </c>
      <c r="D24" s="12">
        <v>8000</v>
      </c>
      <c r="E24" t="s" s="13">
        <v>13</v>
      </c>
      <c r="F24" s="14"/>
      <c r="G24" s="14"/>
      <c r="H24" s="7">
        <f>IF(E24="No",18000,18000+(F24-1)*8000)</f>
        <v>18000</v>
      </c>
      <c r="I24" s="7">
        <f>H24-D24</f>
        <v>10000</v>
      </c>
    </row>
    <row r="25" ht="12.65" customHeight="1">
      <c r="A25" t="s" s="5">
        <v>61</v>
      </c>
      <c r="B25" t="s" s="6">
        <v>15</v>
      </c>
      <c r="C25" t="s" s="6">
        <v>62</v>
      </c>
      <c r="D25" s="7">
        <v>8000</v>
      </c>
      <c r="E25" t="s" s="8">
        <v>13</v>
      </c>
      <c r="F25" s="9"/>
      <c r="G25" s="9"/>
      <c r="H25" s="7">
        <f>IF(E25="No",18000,18000+(F25-1)*8000)</f>
        <v>18000</v>
      </c>
      <c r="I25" s="7">
        <f>H25-D25</f>
        <v>10000</v>
      </c>
    </row>
    <row r="26" ht="12.65" customHeight="1">
      <c r="A26" t="s" s="10">
        <v>63</v>
      </c>
      <c r="B26" t="s" s="11">
        <v>15</v>
      </c>
      <c r="C26" t="s" s="11">
        <v>64</v>
      </c>
      <c r="D26" s="12">
        <v>15000</v>
      </c>
      <c r="E26" t="s" s="13">
        <v>13</v>
      </c>
      <c r="F26" s="14"/>
      <c r="G26" s="14"/>
      <c r="H26" s="7">
        <f>IF(E26="No",18000,18000+(F26-1)*8000)</f>
        <v>18000</v>
      </c>
      <c r="I26" s="7">
        <f>H26-D26</f>
        <v>3000</v>
      </c>
    </row>
    <row r="27" ht="12.65" customHeight="1">
      <c r="A27" t="s" s="5">
        <v>65</v>
      </c>
      <c r="B27" t="s" s="6">
        <v>15</v>
      </c>
      <c r="C27" t="s" s="6">
        <v>66</v>
      </c>
      <c r="D27" s="7">
        <v>8000</v>
      </c>
      <c r="E27" t="s" s="8">
        <v>13</v>
      </c>
      <c r="F27" s="9"/>
      <c r="G27" s="9"/>
      <c r="H27" s="7">
        <f>IF(E27="No",18000,18000+(F27-1)*8000)</f>
        <v>18000</v>
      </c>
      <c r="I27" s="7">
        <f>H27-D27</f>
        <v>10000</v>
      </c>
    </row>
    <row r="28" ht="12.65" customHeight="1">
      <c r="A28" t="s" s="10">
        <v>67</v>
      </c>
      <c r="B28" t="s" s="11">
        <v>21</v>
      </c>
      <c r="C28" t="s" s="11">
        <v>68</v>
      </c>
      <c r="D28" s="12">
        <v>26000</v>
      </c>
      <c r="E28" t="s" s="13">
        <v>19</v>
      </c>
      <c r="F28" s="16">
        <v>2</v>
      </c>
      <c r="G28" s="16">
        <v>1</v>
      </c>
      <c r="H28" s="7">
        <f>IF(E28="No",18000,18000+(F28-1)*8000)</f>
        <v>26000</v>
      </c>
      <c r="I28" s="7">
        <f>H28-D28</f>
        <v>0</v>
      </c>
    </row>
    <row r="29" ht="12.65" customHeight="1">
      <c r="A29" t="s" s="5">
        <v>69</v>
      </c>
      <c r="B29" t="s" s="6">
        <v>29</v>
      </c>
      <c r="C29" s="17"/>
      <c r="D29" s="7">
        <v>8000</v>
      </c>
      <c r="E29" t="s" s="8">
        <v>13</v>
      </c>
      <c r="F29" s="9"/>
      <c r="G29" s="9"/>
      <c r="H29" s="7">
        <f>IF(E29="No",18000,18000+(F29-1)*8000)</f>
        <v>18000</v>
      </c>
      <c r="I29" s="7">
        <f>H29-D29</f>
        <v>10000</v>
      </c>
    </row>
    <row r="30" ht="12.65" customHeight="1">
      <c r="A30" t="s" s="10">
        <v>70</v>
      </c>
      <c r="B30" t="s" s="11">
        <v>21</v>
      </c>
      <c r="C30" t="s" s="11">
        <v>71</v>
      </c>
      <c r="D30" s="12">
        <v>8000</v>
      </c>
      <c r="E30" t="s" s="13">
        <v>13</v>
      </c>
      <c r="F30" s="14"/>
      <c r="G30" s="14"/>
      <c r="H30" s="7">
        <f>IF(E30="No",18000,18000+(F30-1)*8000)</f>
        <v>18000</v>
      </c>
      <c r="I30" s="7">
        <f>H30-D30</f>
        <v>10000</v>
      </c>
    </row>
    <row r="31" ht="12.65" customHeight="1">
      <c r="A31" t="s" s="5">
        <v>72</v>
      </c>
      <c r="B31" t="s" s="6">
        <v>21</v>
      </c>
      <c r="C31" t="s" s="6">
        <v>73</v>
      </c>
      <c r="D31" s="7">
        <v>8000</v>
      </c>
      <c r="E31" t="s" s="8">
        <v>13</v>
      </c>
      <c r="F31" s="9"/>
      <c r="G31" s="9"/>
      <c r="H31" s="7">
        <f>IF(E31="No",18000,18000+(F31-1)*8000)</f>
        <v>18000</v>
      </c>
      <c r="I31" s="7">
        <f>H31-D31</f>
        <v>10000</v>
      </c>
    </row>
    <row r="32" ht="12.65" customHeight="1">
      <c r="A32" t="s" s="10">
        <v>74</v>
      </c>
      <c r="B32" t="s" s="11">
        <v>15</v>
      </c>
      <c r="C32" t="s" s="11">
        <v>75</v>
      </c>
      <c r="D32" s="12">
        <v>15000</v>
      </c>
      <c r="E32" t="s" s="13">
        <v>13</v>
      </c>
      <c r="F32" s="14"/>
      <c r="G32" s="14"/>
      <c r="H32" s="7">
        <f>IF(E32="No",18000,18000+(F32-1)*8000)</f>
        <v>18000</v>
      </c>
      <c r="I32" s="7">
        <f>H32-D32</f>
        <v>3000</v>
      </c>
    </row>
    <row r="33" ht="12.65" customHeight="1">
      <c r="A33" t="s" s="5">
        <v>76</v>
      </c>
      <c r="B33" t="s" s="6">
        <v>21</v>
      </c>
      <c r="C33" t="s" s="6">
        <v>77</v>
      </c>
      <c r="D33" s="7">
        <v>8000</v>
      </c>
      <c r="E33" t="s" s="8">
        <v>13</v>
      </c>
      <c r="F33" s="9"/>
      <c r="G33" s="9"/>
      <c r="H33" s="7">
        <f>IF(E33="No",18000,18000+(F33-1)*8000)</f>
        <v>18000</v>
      </c>
      <c r="I33" s="7">
        <f>H33-D33</f>
        <v>10000</v>
      </c>
    </row>
    <row r="34" ht="12.65" customHeight="1">
      <c r="A34" t="s" s="10">
        <v>78</v>
      </c>
      <c r="B34" t="s" s="11">
        <v>11</v>
      </c>
      <c r="C34" t="s" s="11">
        <v>79</v>
      </c>
      <c r="D34" s="12">
        <v>15000</v>
      </c>
      <c r="E34" t="s" s="13">
        <v>13</v>
      </c>
      <c r="F34" s="14"/>
      <c r="G34" s="14"/>
      <c r="H34" s="7">
        <f>IF(E34="No",18000,18000+(F34-1)*8000)</f>
        <v>18000</v>
      </c>
      <c r="I34" s="7">
        <f>H34-D34</f>
        <v>3000</v>
      </c>
    </row>
    <row r="35" ht="12.65" customHeight="1">
      <c r="A35" t="s" s="5">
        <v>80</v>
      </c>
      <c r="B35" t="s" s="6">
        <v>11</v>
      </c>
      <c r="C35" t="s" s="6">
        <v>81</v>
      </c>
      <c r="D35" s="7">
        <v>15000</v>
      </c>
      <c r="E35" t="s" s="8">
        <v>19</v>
      </c>
      <c r="F35" s="15">
        <v>3</v>
      </c>
      <c r="G35" s="15">
        <v>1</v>
      </c>
      <c r="H35" s="7">
        <f>IF(E35="No",18000,18000+(F35-1)*8000)</f>
        <v>34000</v>
      </c>
      <c r="I35" s="7">
        <f>H35-D35</f>
        <v>19000</v>
      </c>
    </row>
    <row r="36" ht="12.65" customHeight="1">
      <c r="A36" t="s" s="10">
        <v>82</v>
      </c>
      <c r="B36" t="s" s="11">
        <v>24</v>
      </c>
      <c r="C36" t="s" s="11">
        <v>83</v>
      </c>
      <c r="D36" s="12">
        <v>8000</v>
      </c>
      <c r="E36" t="s" s="13">
        <v>13</v>
      </c>
      <c r="F36" s="14"/>
      <c r="G36" s="14"/>
      <c r="H36" s="7">
        <f>IF(E36="No",18000,18000+(F36-1)*8000)</f>
        <v>18000</v>
      </c>
      <c r="I36" s="7">
        <f>H36-D36</f>
        <v>10000</v>
      </c>
    </row>
    <row r="37" ht="12.65" customHeight="1">
      <c r="A37" t="s" s="5">
        <v>84</v>
      </c>
      <c r="B37" t="s" s="6">
        <v>24</v>
      </c>
      <c r="C37" t="s" s="6">
        <v>85</v>
      </c>
      <c r="D37" s="7">
        <v>15000</v>
      </c>
      <c r="E37" t="s" s="8">
        <v>13</v>
      </c>
      <c r="F37" s="9"/>
      <c r="G37" s="9"/>
      <c r="H37" s="7">
        <f>IF(E37="No",18000,18000+(F37-1)*8000)</f>
        <v>18000</v>
      </c>
      <c r="I37" s="7">
        <f>H37-D37</f>
        <v>3000</v>
      </c>
    </row>
    <row r="38" ht="12.65" customHeight="1">
      <c r="A38" t="s" s="10">
        <v>86</v>
      </c>
      <c r="B38" t="s" s="11">
        <v>11</v>
      </c>
      <c r="C38" t="s" s="11">
        <v>87</v>
      </c>
      <c r="D38" s="12">
        <v>8000</v>
      </c>
      <c r="E38" t="s" s="13">
        <v>13</v>
      </c>
      <c r="F38" s="14"/>
      <c r="G38" s="14"/>
      <c r="H38" s="7">
        <f>IF(E38="No",18000,18000+(F38-1)*8000)</f>
        <v>18000</v>
      </c>
      <c r="I38" s="7">
        <f>H38-D38</f>
        <v>10000</v>
      </c>
    </row>
    <row r="39" ht="12.65" customHeight="1">
      <c r="A39" t="s" s="5">
        <v>88</v>
      </c>
      <c r="B39" t="s" s="6">
        <v>21</v>
      </c>
      <c r="C39" t="s" s="6">
        <v>89</v>
      </c>
      <c r="D39" s="7">
        <v>8000</v>
      </c>
      <c r="E39" t="s" s="8">
        <v>13</v>
      </c>
      <c r="F39" s="9"/>
      <c r="G39" s="9"/>
      <c r="H39" s="7">
        <f>IF(E39="No",18000,18000+(F39-1)*8000)</f>
        <v>18000</v>
      </c>
      <c r="I39" s="7">
        <f>H39-D39</f>
        <v>10000</v>
      </c>
    </row>
    <row r="40" ht="12.65" customHeight="1">
      <c r="A40" t="s" s="10">
        <v>90</v>
      </c>
      <c r="B40" t="s" s="11">
        <v>11</v>
      </c>
      <c r="C40" t="s" s="11">
        <v>91</v>
      </c>
      <c r="D40" s="12">
        <v>8000</v>
      </c>
      <c r="E40" t="s" s="13">
        <v>13</v>
      </c>
      <c r="F40" s="14"/>
      <c r="G40" s="14"/>
      <c r="H40" s="7">
        <f>IF(E40="No",18000,18000+(F40-1)*8000)</f>
        <v>18000</v>
      </c>
      <c r="I40" s="7">
        <f>H40-D40</f>
        <v>10000</v>
      </c>
    </row>
    <row r="41" ht="12.65" customHeight="1">
      <c r="A41" t="s" s="5">
        <v>92</v>
      </c>
      <c r="B41" t="s" s="6">
        <v>11</v>
      </c>
      <c r="C41" t="s" s="6">
        <v>93</v>
      </c>
      <c r="D41" s="7">
        <v>16000</v>
      </c>
      <c r="E41" t="s" s="8">
        <v>19</v>
      </c>
      <c r="F41" s="15">
        <v>2</v>
      </c>
      <c r="G41" s="15">
        <v>1</v>
      </c>
      <c r="H41" s="7">
        <f>IF(E41="No",18000,18000+(F41-1)*8000)</f>
        <v>26000</v>
      </c>
      <c r="I41" s="7">
        <f>H41-D41</f>
        <v>10000</v>
      </c>
    </row>
    <row r="42" ht="12.65" customHeight="1">
      <c r="A42" t="s" s="10">
        <v>94</v>
      </c>
      <c r="B42" t="s" s="11">
        <v>11</v>
      </c>
      <c r="C42" t="s" s="11">
        <v>95</v>
      </c>
      <c r="D42" s="12">
        <v>8000</v>
      </c>
      <c r="E42" t="s" s="13">
        <v>13</v>
      </c>
      <c r="F42" s="14"/>
      <c r="G42" s="14"/>
      <c r="H42" s="7">
        <f>IF(E42="No",18000,18000+(F42-1)*8000)</f>
        <v>18000</v>
      </c>
      <c r="I42" s="7">
        <f>H42-D42</f>
        <v>10000</v>
      </c>
    </row>
    <row r="43" ht="12.65" customHeight="1">
      <c r="A43" t="s" s="5">
        <v>96</v>
      </c>
      <c r="B43" t="s" s="6">
        <v>29</v>
      </c>
      <c r="C43" t="s" s="6">
        <v>97</v>
      </c>
      <c r="D43" s="7">
        <v>8000</v>
      </c>
      <c r="E43" t="s" s="8">
        <v>13</v>
      </c>
      <c r="F43" s="9"/>
      <c r="G43" s="9"/>
      <c r="H43" s="7">
        <f>IF(E43="No",18000,18000+(F43-1)*8000)</f>
        <v>18000</v>
      </c>
      <c r="I43" s="7">
        <f>H43-D43</f>
        <v>10000</v>
      </c>
    </row>
    <row r="44" ht="12.65" customHeight="1">
      <c r="A44" t="s" s="10">
        <v>98</v>
      </c>
      <c r="B44" t="s" s="11">
        <v>15</v>
      </c>
      <c r="C44" t="s" s="11">
        <v>99</v>
      </c>
      <c r="D44" s="12">
        <v>15000</v>
      </c>
      <c r="E44" t="s" s="13">
        <v>19</v>
      </c>
      <c r="F44" s="16">
        <v>2</v>
      </c>
      <c r="G44" s="16">
        <v>1</v>
      </c>
      <c r="H44" s="7">
        <f>IF(E44="No",18000,18000+(F44-1)*8000)</f>
        <v>26000</v>
      </c>
      <c r="I44" s="7">
        <f>H44-D44</f>
        <v>11000</v>
      </c>
    </row>
    <row r="45" ht="12.65" customHeight="1">
      <c r="A45" t="s" s="5">
        <v>100</v>
      </c>
      <c r="B45" t="s" s="6">
        <v>21</v>
      </c>
      <c r="C45" t="s" s="6">
        <v>101</v>
      </c>
      <c r="D45" s="7">
        <v>15000</v>
      </c>
      <c r="E45" t="s" s="8">
        <v>19</v>
      </c>
      <c r="F45" s="15">
        <v>2</v>
      </c>
      <c r="G45" s="15">
        <v>0</v>
      </c>
      <c r="H45" s="7">
        <f>IF(E45="No",18000,18000+(F45-1)*8000)</f>
        <v>26000</v>
      </c>
      <c r="I45" s="7">
        <f>H45-D45</f>
        <v>11000</v>
      </c>
    </row>
    <row r="46" ht="12.65" customHeight="1">
      <c r="A46" t="s" s="10">
        <v>102</v>
      </c>
      <c r="B46" t="s" s="11">
        <v>21</v>
      </c>
      <c r="C46" t="s" s="11">
        <v>103</v>
      </c>
      <c r="D46" s="12">
        <v>8000</v>
      </c>
      <c r="E46" s="14"/>
      <c r="F46" s="16">
        <v>2</v>
      </c>
      <c r="G46" s="16">
        <v>2</v>
      </c>
      <c r="H46" s="7">
        <f>IF(E46="No",18000,18000+(F46-1)*8000)</f>
        <v>26000</v>
      </c>
      <c r="I46" s="7">
        <f>H46-D46</f>
        <v>18000</v>
      </c>
    </row>
    <row r="47" ht="12.65" customHeight="1">
      <c r="A47" t="s" s="5">
        <v>104</v>
      </c>
      <c r="B47" t="s" s="6">
        <v>21</v>
      </c>
      <c r="C47" t="s" s="6">
        <v>105</v>
      </c>
      <c r="D47" s="7">
        <v>15000</v>
      </c>
      <c r="E47" t="s" s="8">
        <v>19</v>
      </c>
      <c r="F47" s="15">
        <v>2</v>
      </c>
      <c r="G47" s="15">
        <v>0</v>
      </c>
      <c r="H47" s="7">
        <f>IF(E47="No",18000,18000+(F47-1)*8000)</f>
        <v>26000</v>
      </c>
      <c r="I47" s="7">
        <f>H47-D47</f>
        <v>11000</v>
      </c>
    </row>
    <row r="48" ht="12.65" customHeight="1">
      <c r="A48" t="s" s="10">
        <v>106</v>
      </c>
      <c r="B48" t="s" s="11">
        <v>11</v>
      </c>
      <c r="C48" s="18"/>
      <c r="D48" s="12">
        <v>8000</v>
      </c>
      <c r="E48" t="s" s="13">
        <v>13</v>
      </c>
      <c r="F48" s="14"/>
      <c r="G48" s="14"/>
      <c r="H48" s="7">
        <f>IF(E48="No",18000,18000+(F48-1)*8000)</f>
        <v>18000</v>
      </c>
      <c r="I48" s="7">
        <f>H48-D48</f>
        <v>10000</v>
      </c>
    </row>
    <row r="49" ht="12.65" customHeight="1">
      <c r="A49" t="s" s="5">
        <v>107</v>
      </c>
      <c r="B49" t="s" s="6">
        <v>15</v>
      </c>
      <c r="C49" t="s" s="6">
        <v>108</v>
      </c>
      <c r="D49" s="7">
        <v>8000</v>
      </c>
      <c r="E49" t="s" s="8">
        <v>13</v>
      </c>
      <c r="F49" s="9"/>
      <c r="G49" s="9"/>
      <c r="H49" s="7">
        <f>IF(E49="No",18000,18000+(F49-1)*8000)</f>
        <v>18000</v>
      </c>
      <c r="I49" s="7">
        <f>H49-D49</f>
        <v>10000</v>
      </c>
    </row>
    <row r="50" ht="12.65" customHeight="1">
      <c r="A50" t="s" s="10">
        <v>109</v>
      </c>
      <c r="B50" t="s" s="11">
        <v>24</v>
      </c>
      <c r="C50" t="s" s="11">
        <v>110</v>
      </c>
      <c r="D50" s="12">
        <v>26000</v>
      </c>
      <c r="E50" t="s" s="13">
        <v>19</v>
      </c>
      <c r="F50" s="16">
        <v>2</v>
      </c>
      <c r="G50" s="16">
        <v>0</v>
      </c>
      <c r="H50" s="7">
        <f>IF(E50="No",18000,18000+(F50-1)*8000)</f>
        <v>26000</v>
      </c>
      <c r="I50" s="7">
        <f>H50-D50</f>
        <v>0</v>
      </c>
    </row>
    <row r="51" ht="12.65" customHeight="1">
      <c r="A51" t="s" s="5">
        <v>111</v>
      </c>
      <c r="B51" t="s" s="6">
        <v>15</v>
      </c>
      <c r="C51" t="s" s="6">
        <v>44</v>
      </c>
      <c r="D51" s="7">
        <v>8000</v>
      </c>
      <c r="E51" t="s" s="8">
        <v>13</v>
      </c>
      <c r="F51" s="9"/>
      <c r="G51" s="9"/>
      <c r="H51" s="7">
        <f>IF(E51="No",18000,18000+(F51-1)*8000)</f>
        <v>18000</v>
      </c>
      <c r="I51" s="7">
        <f>H51-D51</f>
        <v>10000</v>
      </c>
    </row>
    <row r="52" ht="12.65" customHeight="1">
      <c r="A52" t="s" s="10">
        <v>112</v>
      </c>
      <c r="B52" t="s" s="11">
        <v>11</v>
      </c>
      <c r="C52" t="s" s="11">
        <v>113</v>
      </c>
      <c r="D52" s="12">
        <v>8000</v>
      </c>
      <c r="E52" t="s" s="13">
        <v>13</v>
      </c>
      <c r="F52" s="14"/>
      <c r="G52" s="14"/>
      <c r="H52" s="7">
        <f>IF(E52="No",18000,18000+(F52-1)*8000)</f>
        <v>18000</v>
      </c>
      <c r="I52" s="7">
        <f>H52-D52</f>
        <v>10000</v>
      </c>
    </row>
    <row r="53" ht="12.65" customHeight="1">
      <c r="A53" t="s" s="5">
        <v>114</v>
      </c>
      <c r="B53" t="s" s="6">
        <v>11</v>
      </c>
      <c r="C53" t="s" s="6">
        <v>115</v>
      </c>
      <c r="D53" s="7">
        <v>15000</v>
      </c>
      <c r="E53" t="s" s="8">
        <v>19</v>
      </c>
      <c r="F53" s="15">
        <v>2</v>
      </c>
      <c r="G53" s="15">
        <v>1</v>
      </c>
      <c r="H53" s="7">
        <f>IF(E53="No",18000,18000+(F53-1)*8000)</f>
        <v>26000</v>
      </c>
      <c r="I53" s="7">
        <f>H53-D53</f>
        <v>11000</v>
      </c>
    </row>
    <row r="54" ht="12.65" customHeight="1">
      <c r="A54" t="s" s="10">
        <v>116</v>
      </c>
      <c r="B54" t="s" s="11">
        <v>11</v>
      </c>
      <c r="C54" s="18"/>
      <c r="D54" s="12">
        <v>8000</v>
      </c>
      <c r="E54" t="s" s="13">
        <v>13</v>
      </c>
      <c r="F54" s="14"/>
      <c r="G54" s="14"/>
      <c r="H54" s="7">
        <f>IF(E54="No",18000,18000+(F54-1)*8000)</f>
        <v>18000</v>
      </c>
      <c r="I54" s="7">
        <f>H54-D54</f>
        <v>10000</v>
      </c>
    </row>
    <row r="55" ht="12.65" customHeight="1">
      <c r="A55" t="s" s="5">
        <v>117</v>
      </c>
      <c r="B55" t="s" s="6">
        <v>29</v>
      </c>
      <c r="C55" t="s" s="6">
        <v>118</v>
      </c>
      <c r="D55" s="7">
        <v>8000</v>
      </c>
      <c r="E55" t="s" s="8">
        <v>13</v>
      </c>
      <c r="F55" s="9"/>
      <c r="G55" s="9"/>
      <c r="H55" s="7">
        <f>IF(E55="No",18000,18000+(F55-1)*8000)</f>
        <v>18000</v>
      </c>
      <c r="I55" s="7">
        <f>H55-D55</f>
        <v>10000</v>
      </c>
    </row>
    <row r="56" ht="12.65" customHeight="1">
      <c r="A56" t="s" s="10">
        <v>119</v>
      </c>
      <c r="B56" t="s" s="11">
        <v>21</v>
      </c>
      <c r="C56" t="s" s="11">
        <v>120</v>
      </c>
      <c r="D56" s="12">
        <v>8000</v>
      </c>
      <c r="E56" t="s" s="13">
        <v>13</v>
      </c>
      <c r="F56" s="14"/>
      <c r="G56" s="14"/>
      <c r="H56" s="7">
        <f>IF(E56="No",18000,18000+(F56-1)*8000)</f>
        <v>18000</v>
      </c>
      <c r="I56" s="7">
        <f>H56-D56</f>
        <v>10000</v>
      </c>
    </row>
    <row r="57" ht="12.65" customHeight="1">
      <c r="A57" t="s" s="5">
        <v>121</v>
      </c>
      <c r="B57" t="s" s="6">
        <v>21</v>
      </c>
      <c r="C57" t="s" s="6">
        <v>122</v>
      </c>
      <c r="D57" s="7">
        <v>15000</v>
      </c>
      <c r="E57" t="s" s="8">
        <v>13</v>
      </c>
      <c r="F57" s="9"/>
      <c r="G57" s="9"/>
      <c r="H57" s="7">
        <f>IF(E57="No",18000,18000+(F57-1)*8000)</f>
        <v>18000</v>
      </c>
      <c r="I57" s="7">
        <f>H57-D57</f>
        <v>3000</v>
      </c>
    </row>
    <row r="58" ht="12.65" customHeight="1">
      <c r="A58" t="s" s="10">
        <v>123</v>
      </c>
      <c r="B58" t="s" s="11">
        <v>21</v>
      </c>
      <c r="C58" t="s" s="11">
        <v>124</v>
      </c>
      <c r="D58" s="12">
        <v>8000</v>
      </c>
      <c r="E58" t="s" s="13">
        <v>13</v>
      </c>
      <c r="F58" s="14"/>
      <c r="G58" s="14"/>
      <c r="H58" s="7">
        <f>IF(E58="No",18000,18000+(F58-1)*8000)</f>
        <v>18000</v>
      </c>
      <c r="I58" s="7">
        <f>H58-D58</f>
        <v>10000</v>
      </c>
    </row>
    <row r="59" ht="12.65" customHeight="1">
      <c r="A59" t="s" s="5">
        <v>125</v>
      </c>
      <c r="B59" t="s" s="6">
        <v>21</v>
      </c>
      <c r="C59" t="s" s="6">
        <v>126</v>
      </c>
      <c r="D59" s="7">
        <v>8000</v>
      </c>
      <c r="E59" t="s" s="8">
        <v>13</v>
      </c>
      <c r="F59" s="9"/>
      <c r="G59" s="9"/>
      <c r="H59" s="7">
        <f>IF(E59="No",18000,18000+(F59-1)*8000)</f>
        <v>18000</v>
      </c>
      <c r="I59" s="7">
        <f>H59-D59</f>
        <v>10000</v>
      </c>
    </row>
    <row r="60" ht="12.65" customHeight="1">
      <c r="A60" t="s" s="10">
        <v>127</v>
      </c>
      <c r="B60" t="s" s="11">
        <v>21</v>
      </c>
      <c r="C60" t="s" s="11">
        <v>128</v>
      </c>
      <c r="D60" s="12">
        <v>8000</v>
      </c>
      <c r="E60" t="s" s="13">
        <v>13</v>
      </c>
      <c r="F60" s="14"/>
      <c r="G60" s="14"/>
      <c r="H60" s="7">
        <f>IF(E60="No",18000,18000+(F60-1)*8000)</f>
        <v>18000</v>
      </c>
      <c r="I60" s="7">
        <f>H60-D60</f>
        <v>10000</v>
      </c>
    </row>
    <row r="61" ht="12.65" customHeight="1">
      <c r="A61" t="s" s="5">
        <v>129</v>
      </c>
      <c r="B61" t="s" s="6">
        <v>15</v>
      </c>
      <c r="C61" t="s" s="6">
        <v>130</v>
      </c>
      <c r="D61" s="7">
        <v>8000</v>
      </c>
      <c r="E61" t="s" s="8">
        <v>13</v>
      </c>
      <c r="F61" s="9"/>
      <c r="G61" s="9"/>
      <c r="H61" s="7">
        <f>IF(E61="No",18000,18000+(F61-1)*8000)</f>
        <v>18000</v>
      </c>
      <c r="I61" s="7">
        <f>H61-D61</f>
        <v>10000</v>
      </c>
    </row>
    <row r="62" ht="12.65" customHeight="1">
      <c r="A62" t="s" s="10">
        <v>131</v>
      </c>
      <c r="B62" t="s" s="11">
        <v>15</v>
      </c>
      <c r="C62" t="s" s="11">
        <v>132</v>
      </c>
      <c r="D62" s="12">
        <v>8000</v>
      </c>
      <c r="E62" t="s" s="13">
        <v>13</v>
      </c>
      <c r="F62" s="14"/>
      <c r="G62" s="14"/>
      <c r="H62" s="7">
        <f>IF(E62="No",18000,18000+(F62-1)*8000)</f>
        <v>18000</v>
      </c>
      <c r="I62" s="7">
        <f>H62-D62</f>
        <v>10000</v>
      </c>
    </row>
    <row r="63" ht="12.65" customHeight="1">
      <c r="A63" t="s" s="5">
        <v>133</v>
      </c>
      <c r="B63" t="s" s="6">
        <v>15</v>
      </c>
      <c r="C63" t="s" s="6">
        <v>134</v>
      </c>
      <c r="D63" s="7">
        <v>15000</v>
      </c>
      <c r="E63" t="s" s="8">
        <v>19</v>
      </c>
      <c r="F63" s="15">
        <v>2</v>
      </c>
      <c r="G63" s="15">
        <v>0</v>
      </c>
      <c r="H63" s="7">
        <f>IF(E63="No",18000,18000+(F63-1)*8000)</f>
        <v>26000</v>
      </c>
      <c r="I63" s="7">
        <f>H63-D63</f>
        <v>11000</v>
      </c>
    </row>
    <row r="64" ht="12.65" customHeight="1">
      <c r="A64" t="s" s="10">
        <v>135</v>
      </c>
      <c r="B64" t="s" s="11">
        <v>15</v>
      </c>
      <c r="C64" t="s" s="11">
        <v>136</v>
      </c>
      <c r="D64" s="12">
        <v>8000</v>
      </c>
      <c r="E64" t="s" s="13">
        <v>13</v>
      </c>
      <c r="F64" s="14"/>
      <c r="G64" s="14"/>
      <c r="H64" s="7">
        <f>IF(E64="No",18000,18000+(F64-1)*8000)</f>
        <v>18000</v>
      </c>
      <c r="I64" s="7">
        <f>H64-D64</f>
        <v>10000</v>
      </c>
    </row>
    <row r="65" ht="12.65" customHeight="1">
      <c r="A65" t="s" s="5">
        <v>137</v>
      </c>
      <c r="B65" t="s" s="6">
        <v>21</v>
      </c>
      <c r="C65" s="17"/>
      <c r="D65" s="7">
        <v>8000</v>
      </c>
      <c r="E65" t="s" s="8">
        <v>13</v>
      </c>
      <c r="F65" s="9"/>
      <c r="G65" s="9"/>
      <c r="H65" s="7">
        <f>IF(E65="No",18000,18000+(F65-1)*8000)</f>
        <v>18000</v>
      </c>
      <c r="I65" s="7">
        <f>H65-D65</f>
        <v>10000</v>
      </c>
    </row>
    <row r="66" ht="12.65" customHeight="1">
      <c r="A66" t="s" s="10">
        <v>138</v>
      </c>
      <c r="B66" t="s" s="11">
        <v>29</v>
      </c>
      <c r="C66" t="s" s="11">
        <v>139</v>
      </c>
      <c r="D66" s="12">
        <v>8000</v>
      </c>
      <c r="E66" t="s" s="13">
        <v>13</v>
      </c>
      <c r="F66" s="14"/>
      <c r="G66" s="14"/>
      <c r="H66" s="7">
        <f>IF(E66="No",18000,18000+(F66-1)*8000)</f>
        <v>18000</v>
      </c>
      <c r="I66" s="7">
        <f>H66-D66</f>
        <v>10000</v>
      </c>
    </row>
    <row r="67" ht="12.65" customHeight="1">
      <c r="A67" t="s" s="5">
        <v>140</v>
      </c>
      <c r="B67" t="s" s="6">
        <v>24</v>
      </c>
      <c r="C67" s="17"/>
      <c r="D67" s="7">
        <v>8000</v>
      </c>
      <c r="E67" t="s" s="8">
        <v>13</v>
      </c>
      <c r="F67" s="9"/>
      <c r="G67" s="9"/>
      <c r="H67" s="7">
        <f>IF(E67="No",18000,18000+(F67-1)*8000)</f>
        <v>18000</v>
      </c>
      <c r="I67" s="7">
        <f>H67-D67</f>
        <v>10000</v>
      </c>
    </row>
    <row r="68" ht="12.65" customHeight="1">
      <c r="A68" t="s" s="10">
        <v>141</v>
      </c>
      <c r="B68" t="s" s="11">
        <v>24</v>
      </c>
      <c r="C68" t="s" s="11">
        <v>142</v>
      </c>
      <c r="D68" s="12">
        <v>8000</v>
      </c>
      <c r="E68" t="s" s="13">
        <v>13</v>
      </c>
      <c r="F68" s="14"/>
      <c r="G68" s="14"/>
      <c r="H68" s="7">
        <f>IF(E68="No",18000,18000+(F68-1)*8000)</f>
        <v>18000</v>
      </c>
      <c r="I68" s="7">
        <f>H68-D68</f>
        <v>10000</v>
      </c>
    </row>
    <row r="69" ht="12.65" customHeight="1">
      <c r="A69" t="s" s="5">
        <v>143</v>
      </c>
      <c r="B69" t="s" s="6">
        <v>24</v>
      </c>
      <c r="C69" t="s" s="6">
        <v>144</v>
      </c>
      <c r="D69" s="7">
        <v>8000</v>
      </c>
      <c r="E69" t="s" s="8">
        <v>13</v>
      </c>
      <c r="F69" s="9"/>
      <c r="G69" s="9"/>
      <c r="H69" s="7">
        <f>IF(E69="No",18000,18000+(F69-1)*8000)</f>
        <v>18000</v>
      </c>
      <c r="I69" s="7">
        <f>H69-D69</f>
        <v>10000</v>
      </c>
    </row>
    <row r="70" ht="12.65" customHeight="1">
      <c r="A70" t="s" s="10">
        <v>145</v>
      </c>
      <c r="B70" t="s" s="11">
        <v>21</v>
      </c>
      <c r="C70" s="18"/>
      <c r="D70" s="12">
        <v>8000</v>
      </c>
      <c r="E70" t="s" s="13">
        <v>13</v>
      </c>
      <c r="F70" s="14"/>
      <c r="G70" s="14"/>
      <c r="H70" s="7">
        <f>IF(E70="No",18000,18000+(F70-1)*8000)</f>
        <v>18000</v>
      </c>
      <c r="I70" s="7">
        <f>H70-D70</f>
        <v>10000</v>
      </c>
    </row>
    <row r="71" ht="12.65" customHeight="1">
      <c r="A71" t="s" s="5">
        <v>146</v>
      </c>
      <c r="B71" t="s" s="6">
        <v>11</v>
      </c>
      <c r="C71" t="s" s="6">
        <v>147</v>
      </c>
      <c r="D71" s="7">
        <v>8000</v>
      </c>
      <c r="E71" t="s" s="8">
        <v>13</v>
      </c>
      <c r="F71" s="9"/>
      <c r="G71" s="9"/>
      <c r="H71" s="7">
        <f>IF(E71="No",18000,18000+(F71-1)*8000)</f>
        <v>18000</v>
      </c>
      <c r="I71" s="7">
        <f>H71-D71</f>
        <v>10000</v>
      </c>
    </row>
    <row r="72" ht="12.65" customHeight="1">
      <c r="A72" t="s" s="10">
        <v>148</v>
      </c>
      <c r="B72" t="s" s="11">
        <v>24</v>
      </c>
      <c r="C72" t="s" s="11">
        <v>149</v>
      </c>
      <c r="D72" s="12">
        <v>8000</v>
      </c>
      <c r="E72" t="s" s="13">
        <v>19</v>
      </c>
      <c r="F72" s="16">
        <v>2</v>
      </c>
      <c r="G72" s="16">
        <v>0</v>
      </c>
      <c r="H72" s="7">
        <f>IF(E72="No",18000,18000+(F72-1)*8000)</f>
        <v>26000</v>
      </c>
      <c r="I72" s="7">
        <f>H72-D72</f>
        <v>18000</v>
      </c>
    </row>
    <row r="73" ht="12.65" customHeight="1">
      <c r="A73" t="s" s="5">
        <v>150</v>
      </c>
      <c r="B73" t="s" s="6">
        <v>24</v>
      </c>
      <c r="C73" t="s" s="6">
        <v>151</v>
      </c>
      <c r="D73" s="7">
        <v>8000</v>
      </c>
      <c r="E73" t="s" s="8">
        <v>13</v>
      </c>
      <c r="F73" s="9"/>
      <c r="G73" s="9"/>
      <c r="H73" s="7">
        <f>IF(E73="No",18000,18000+(F73-1)*8000)</f>
        <v>18000</v>
      </c>
      <c r="I73" s="7">
        <f>H73-D73</f>
        <v>10000</v>
      </c>
    </row>
    <row r="74" ht="12.65" customHeight="1">
      <c r="A74" t="s" s="10">
        <v>152</v>
      </c>
      <c r="B74" t="s" s="11">
        <v>24</v>
      </c>
      <c r="C74" t="s" s="11">
        <v>153</v>
      </c>
      <c r="D74" s="12">
        <v>8000</v>
      </c>
      <c r="E74" t="s" s="13">
        <v>13</v>
      </c>
      <c r="F74" s="14"/>
      <c r="G74" s="14"/>
      <c r="H74" s="7">
        <f>IF(E74="No",18000,18000+(F74-1)*8000)</f>
        <v>18000</v>
      </c>
      <c r="I74" s="7">
        <f>H74-D74</f>
        <v>10000</v>
      </c>
    </row>
    <row r="75" ht="12.65" customHeight="1">
      <c r="A75" t="s" s="5">
        <v>154</v>
      </c>
      <c r="B75" t="s" s="6">
        <v>24</v>
      </c>
      <c r="C75" t="s" s="6">
        <v>155</v>
      </c>
      <c r="D75" s="7">
        <v>8000</v>
      </c>
      <c r="E75" t="s" s="8">
        <v>19</v>
      </c>
      <c r="F75" s="15">
        <v>2</v>
      </c>
      <c r="G75" s="15">
        <v>2</v>
      </c>
      <c r="H75" s="7">
        <f>IF(E75="No",18000,18000+(F75-1)*8000)</f>
        <v>26000</v>
      </c>
      <c r="I75" s="7">
        <f>H75-D75</f>
        <v>18000</v>
      </c>
    </row>
    <row r="76" ht="12.65" customHeight="1">
      <c r="A76" t="s" s="10">
        <v>156</v>
      </c>
      <c r="B76" t="s" s="11">
        <v>21</v>
      </c>
      <c r="C76" t="s" s="11">
        <v>157</v>
      </c>
      <c r="D76" s="12">
        <v>8000</v>
      </c>
      <c r="E76" t="s" s="13">
        <v>13</v>
      </c>
      <c r="F76" s="14"/>
      <c r="G76" s="14"/>
      <c r="H76" s="7">
        <f>IF(E76="No",18000,18000+(F76-1)*8000)</f>
        <v>18000</v>
      </c>
      <c r="I76" s="7">
        <f>H76-D76</f>
        <v>10000</v>
      </c>
    </row>
    <row r="77" ht="12.65" customHeight="1">
      <c r="A77" t="s" s="5">
        <v>158</v>
      </c>
      <c r="B77" t="s" s="6">
        <v>11</v>
      </c>
      <c r="C77" t="s" s="6">
        <v>159</v>
      </c>
      <c r="D77" s="7">
        <v>8000</v>
      </c>
      <c r="E77" t="s" s="8">
        <v>13</v>
      </c>
      <c r="F77" s="9"/>
      <c r="G77" s="9"/>
      <c r="H77" s="7">
        <f>IF(E77="No",18000,18000+(F77-1)*8000)</f>
        <v>18000</v>
      </c>
      <c r="I77" s="7">
        <f>H77-D77</f>
        <v>10000</v>
      </c>
    </row>
    <row r="78" ht="12.65" customHeight="1">
      <c r="A78" t="s" s="10">
        <v>160</v>
      </c>
      <c r="B78" t="s" s="11">
        <v>29</v>
      </c>
      <c r="C78" t="s" s="11">
        <v>161</v>
      </c>
      <c r="D78" s="12">
        <v>8000</v>
      </c>
      <c r="E78" t="s" s="13">
        <v>13</v>
      </c>
      <c r="F78" s="14"/>
      <c r="G78" s="14"/>
      <c r="H78" s="7">
        <f>IF(E78="No",18000,18000+(F78-1)*8000)</f>
        <v>18000</v>
      </c>
      <c r="I78" s="7">
        <f>H78-D78</f>
        <v>10000</v>
      </c>
    </row>
    <row r="79" ht="12.65" customHeight="1">
      <c r="A79" t="s" s="5">
        <v>162</v>
      </c>
      <c r="B79" t="s" s="6">
        <v>29</v>
      </c>
      <c r="C79" t="s" s="6">
        <v>163</v>
      </c>
      <c r="D79" s="7">
        <v>8000</v>
      </c>
      <c r="E79" t="s" s="8">
        <v>13</v>
      </c>
      <c r="F79" s="9"/>
      <c r="G79" s="9"/>
      <c r="H79" s="7">
        <f>IF(E79="No",18000,18000+(F79-1)*8000)</f>
        <v>18000</v>
      </c>
      <c r="I79" s="7">
        <f>H79-D79</f>
        <v>10000</v>
      </c>
    </row>
    <row r="80" ht="12.65" customHeight="1">
      <c r="A80" t="s" s="10">
        <v>164</v>
      </c>
      <c r="B80" t="s" s="11">
        <v>11</v>
      </c>
      <c r="C80" t="s" s="11">
        <v>165</v>
      </c>
      <c r="D80" s="12">
        <v>8000</v>
      </c>
      <c r="E80" t="s" s="13">
        <v>19</v>
      </c>
      <c r="F80" s="16">
        <v>2</v>
      </c>
      <c r="G80" s="16">
        <v>1</v>
      </c>
      <c r="H80" s="7">
        <f>IF(E80="No",18000,18000+(F80-1)*8000)</f>
        <v>26000</v>
      </c>
      <c r="I80" s="7">
        <f>H80-D80</f>
        <v>18000</v>
      </c>
    </row>
    <row r="81" ht="12.65" customHeight="1">
      <c r="A81" t="s" s="5">
        <v>166</v>
      </c>
      <c r="B81" t="s" s="6">
        <v>15</v>
      </c>
      <c r="C81" t="s" s="6">
        <v>167</v>
      </c>
      <c r="D81" s="7">
        <v>8000</v>
      </c>
      <c r="E81" t="s" s="8">
        <v>13</v>
      </c>
      <c r="F81" s="9"/>
      <c r="G81" s="9"/>
      <c r="H81" s="7">
        <f>IF(E81="No",18000,18000+(F81-1)*8000)</f>
        <v>18000</v>
      </c>
      <c r="I81" s="7">
        <f>H81-D81</f>
        <v>10000</v>
      </c>
    </row>
    <row r="82" ht="12.65" customHeight="1">
      <c r="A82" t="s" s="10">
        <v>168</v>
      </c>
      <c r="B82" t="s" s="11">
        <v>11</v>
      </c>
      <c r="C82" t="s" s="11">
        <v>169</v>
      </c>
      <c r="D82" s="12">
        <v>8000</v>
      </c>
      <c r="E82" t="s" s="13">
        <v>13</v>
      </c>
      <c r="F82" s="14"/>
      <c r="G82" s="14"/>
      <c r="H82" s="7">
        <f>IF(E82="No",18000,18000+(F82-1)*8000)</f>
        <v>18000</v>
      </c>
      <c r="I82" s="7">
        <f>H82-D82</f>
        <v>10000</v>
      </c>
    </row>
    <row r="83" ht="12.65" customHeight="1">
      <c r="A83" t="s" s="5">
        <v>170</v>
      </c>
      <c r="B83" t="s" s="6">
        <v>11</v>
      </c>
      <c r="C83" t="s" s="6">
        <v>171</v>
      </c>
      <c r="D83" s="7">
        <v>8000</v>
      </c>
      <c r="E83" t="s" s="8">
        <v>13</v>
      </c>
      <c r="F83" s="9"/>
      <c r="G83" s="9"/>
      <c r="H83" s="7">
        <f>IF(E83="No",18000,18000+(F83-1)*8000)</f>
        <v>18000</v>
      </c>
      <c r="I83" s="7">
        <f>H83-D83</f>
        <v>10000</v>
      </c>
    </row>
    <row r="84" ht="12.65" customHeight="1">
      <c r="A84" t="s" s="10">
        <v>172</v>
      </c>
      <c r="B84" t="s" s="11">
        <v>29</v>
      </c>
      <c r="C84" t="s" s="11">
        <v>173</v>
      </c>
      <c r="D84" s="12">
        <v>8000</v>
      </c>
      <c r="E84" t="s" s="13">
        <v>13</v>
      </c>
      <c r="F84" s="14"/>
      <c r="G84" s="14"/>
      <c r="H84" s="7">
        <f>IF(E84="No",18000,18000+(F84-1)*8000)</f>
        <v>18000</v>
      </c>
      <c r="I84" s="7">
        <f>H84-D84</f>
        <v>10000</v>
      </c>
    </row>
    <row r="85" ht="12.65" customHeight="1">
      <c r="A85" t="s" s="5">
        <v>174</v>
      </c>
      <c r="B85" t="s" s="6">
        <v>11</v>
      </c>
      <c r="C85" t="s" s="6">
        <v>175</v>
      </c>
      <c r="D85" s="7">
        <v>8000</v>
      </c>
      <c r="E85" t="s" s="8">
        <v>13</v>
      </c>
      <c r="F85" s="9"/>
      <c r="G85" s="9"/>
      <c r="H85" s="7">
        <f>IF(E85="No",18000,18000+(F85-1)*8000)</f>
        <v>18000</v>
      </c>
      <c r="I85" s="7">
        <f>H85-D85</f>
        <v>10000</v>
      </c>
    </row>
    <row r="86" ht="12.65" customHeight="1">
      <c r="A86" t="s" s="10">
        <v>176</v>
      </c>
      <c r="B86" t="s" s="11">
        <v>29</v>
      </c>
      <c r="C86" t="s" s="11">
        <v>177</v>
      </c>
      <c r="D86" s="12">
        <v>8000</v>
      </c>
      <c r="E86" t="s" s="13">
        <v>19</v>
      </c>
      <c r="F86" s="16">
        <v>2</v>
      </c>
      <c r="G86" s="16">
        <v>0</v>
      </c>
      <c r="H86" s="7">
        <f>IF(E86="No",18000,18000+(F86-1)*8000)</f>
        <v>26000</v>
      </c>
      <c r="I86" s="7">
        <f>H86-D86</f>
        <v>18000</v>
      </c>
    </row>
    <row r="87" ht="12.65" customHeight="1">
      <c r="A87" t="s" s="5">
        <v>178</v>
      </c>
      <c r="B87" t="s" s="6">
        <v>29</v>
      </c>
      <c r="C87" t="s" s="6">
        <v>179</v>
      </c>
      <c r="D87" s="7">
        <v>8000</v>
      </c>
      <c r="E87" t="s" s="8">
        <v>19</v>
      </c>
      <c r="F87" s="15">
        <v>2</v>
      </c>
      <c r="G87" s="15">
        <v>0</v>
      </c>
      <c r="H87" s="7">
        <f>IF(E87="No",18000,18000+(F87-1)*8000)</f>
        <v>26000</v>
      </c>
      <c r="I87" s="7">
        <f>H87-D87</f>
        <v>18000</v>
      </c>
    </row>
    <row r="88" ht="12.65" customHeight="1">
      <c r="A88" t="s" s="10">
        <v>180</v>
      </c>
      <c r="B88" t="s" s="11">
        <v>15</v>
      </c>
      <c r="C88" t="s" s="11">
        <v>181</v>
      </c>
      <c r="D88" s="12">
        <v>8000</v>
      </c>
      <c r="E88" t="s" s="13">
        <v>13</v>
      </c>
      <c r="F88" s="14"/>
      <c r="G88" s="14"/>
      <c r="H88" s="7">
        <f>IF(E88="No",18000,18000+(F88-1)*8000)</f>
        <v>18000</v>
      </c>
      <c r="I88" s="7">
        <f>H88-D88</f>
        <v>10000</v>
      </c>
    </row>
    <row r="89" ht="12.65" customHeight="1">
      <c r="A89" t="s" s="5">
        <v>182</v>
      </c>
      <c r="B89" t="s" s="6">
        <v>11</v>
      </c>
      <c r="C89" t="s" s="6">
        <v>183</v>
      </c>
      <c r="D89" s="7">
        <v>8000</v>
      </c>
      <c r="E89" t="s" s="8">
        <v>19</v>
      </c>
      <c r="F89" s="15">
        <v>2</v>
      </c>
      <c r="G89" s="15">
        <v>2</v>
      </c>
      <c r="H89" s="7">
        <f>IF(E89="No",18000,18000+(F89-1)*8000)</f>
        <v>26000</v>
      </c>
      <c r="I89" s="7">
        <f>H89-D89</f>
        <v>18000</v>
      </c>
    </row>
    <row r="90" ht="12.65" customHeight="1">
      <c r="A90" t="s" s="10">
        <v>184</v>
      </c>
      <c r="B90" t="s" s="11">
        <v>24</v>
      </c>
      <c r="C90" t="s" s="11">
        <v>185</v>
      </c>
      <c r="D90" s="12">
        <v>8000</v>
      </c>
      <c r="E90" t="s" s="13">
        <v>13</v>
      </c>
      <c r="F90" s="14"/>
      <c r="G90" s="14"/>
      <c r="H90" s="7">
        <f>IF(E90="No",18000,18000+(F90-1)*8000)</f>
        <v>18000</v>
      </c>
      <c r="I90" s="7">
        <f>H90-D90</f>
        <v>10000</v>
      </c>
    </row>
    <row r="91" ht="12.65" customHeight="1">
      <c r="A91" t="s" s="5">
        <v>186</v>
      </c>
      <c r="B91" t="s" s="6">
        <v>11</v>
      </c>
      <c r="C91" t="s" s="6">
        <v>187</v>
      </c>
      <c r="D91" s="7">
        <v>8000</v>
      </c>
      <c r="E91" t="s" s="8">
        <v>13</v>
      </c>
      <c r="F91" s="9"/>
      <c r="G91" s="9"/>
      <c r="H91" s="7">
        <f>IF(E91="No",18000,18000+(F91-1)*8000)</f>
        <v>18000</v>
      </c>
      <c r="I91" s="7">
        <f>H91-D91</f>
        <v>10000</v>
      </c>
    </row>
    <row r="92" ht="12.65" customHeight="1">
      <c r="A92" t="s" s="10">
        <v>188</v>
      </c>
      <c r="B92" t="s" s="11">
        <v>24</v>
      </c>
      <c r="C92" t="s" s="11">
        <v>189</v>
      </c>
      <c r="D92" s="12">
        <v>15000</v>
      </c>
      <c r="E92" t="s" s="13">
        <v>19</v>
      </c>
      <c r="F92" s="16">
        <v>2</v>
      </c>
      <c r="G92" s="16">
        <v>0</v>
      </c>
      <c r="H92" s="7">
        <f>IF(E92="No",18000,18000+(F92-1)*8000)</f>
        <v>26000</v>
      </c>
      <c r="I92" s="7">
        <f>H92-D92</f>
        <v>11000</v>
      </c>
    </row>
    <row r="93" ht="12.65" customHeight="1">
      <c r="A93" t="s" s="5">
        <v>190</v>
      </c>
      <c r="B93" t="s" s="6">
        <v>15</v>
      </c>
      <c r="C93" t="s" s="6">
        <v>191</v>
      </c>
      <c r="D93" s="7">
        <v>8000</v>
      </c>
      <c r="E93" t="s" s="8">
        <v>13</v>
      </c>
      <c r="F93" s="9"/>
      <c r="G93" s="9"/>
      <c r="H93" s="7">
        <f>IF(E93="No",18000,18000+(F93-1)*8000)</f>
        <v>18000</v>
      </c>
      <c r="I93" s="7">
        <f>H93-D93</f>
        <v>10000</v>
      </c>
    </row>
    <row r="94" ht="12.65" customHeight="1">
      <c r="A94" t="s" s="10">
        <v>192</v>
      </c>
      <c r="B94" t="s" s="11">
        <v>29</v>
      </c>
      <c r="C94" t="s" s="11">
        <v>193</v>
      </c>
      <c r="D94" s="12">
        <v>8000</v>
      </c>
      <c r="E94" t="s" s="13">
        <v>13</v>
      </c>
      <c r="F94" s="18"/>
      <c r="G94" s="18"/>
      <c r="H94" s="7">
        <f>IF(E94="No",18000,18000+(F94-1)*8000)</f>
        <v>18000</v>
      </c>
      <c r="I94" s="7">
        <f>H94-D94</f>
        <v>10000</v>
      </c>
    </row>
    <row r="95" ht="12.65" customHeight="1">
      <c r="A95" t="s" s="5">
        <v>194</v>
      </c>
      <c r="B95" t="s" s="6">
        <v>29</v>
      </c>
      <c r="C95" t="s" s="6">
        <v>195</v>
      </c>
      <c r="D95" s="7">
        <v>8000</v>
      </c>
      <c r="E95" t="s" s="8">
        <v>13</v>
      </c>
      <c r="F95" s="17"/>
      <c r="G95" s="17"/>
      <c r="H95" s="7">
        <f>IF(E95="No",18000,18000+(F95-1)*8000)</f>
        <v>18000</v>
      </c>
      <c r="I95" s="7">
        <f>H95-D95</f>
        <v>10000</v>
      </c>
    </row>
    <row r="96" ht="12.65" customHeight="1">
      <c r="A96" t="s" s="10">
        <v>196</v>
      </c>
      <c r="B96" t="s" s="11">
        <v>29</v>
      </c>
      <c r="C96" t="s" s="11">
        <v>197</v>
      </c>
      <c r="D96" s="12">
        <v>8000</v>
      </c>
      <c r="E96" t="s" s="13">
        <v>13</v>
      </c>
      <c r="F96" s="18"/>
      <c r="G96" s="18"/>
      <c r="H96" s="7">
        <f>IF(E96="No",18000,18000+(F96-1)*8000)</f>
        <v>18000</v>
      </c>
      <c r="I96" s="7">
        <f>H96-D96</f>
        <v>10000</v>
      </c>
    </row>
    <row r="97" ht="12.65" customHeight="1">
      <c r="A97" t="s" s="5">
        <v>198</v>
      </c>
      <c r="B97" t="s" s="6">
        <v>24</v>
      </c>
      <c r="C97" t="s" s="6">
        <v>199</v>
      </c>
      <c r="D97" s="7">
        <v>8000</v>
      </c>
      <c r="E97" t="s" s="8">
        <v>13</v>
      </c>
      <c r="F97" s="17"/>
      <c r="G97" s="17"/>
      <c r="H97" s="7">
        <f>IF(E97="No",18000,18000+(F97-1)*8000)</f>
        <v>18000</v>
      </c>
      <c r="I97" s="7">
        <f>H97-D97</f>
        <v>10000</v>
      </c>
    </row>
    <row r="98" ht="12.65" customHeight="1">
      <c r="A98" t="s" s="10">
        <v>200</v>
      </c>
      <c r="B98" t="s" s="11">
        <v>11</v>
      </c>
      <c r="C98" t="s" s="11">
        <v>201</v>
      </c>
      <c r="D98" s="12">
        <v>8000</v>
      </c>
      <c r="E98" t="s" s="13">
        <v>13</v>
      </c>
      <c r="F98" s="18"/>
      <c r="G98" s="18"/>
      <c r="H98" s="7">
        <f>IF(E98="No",18000,18000+(F98-1)*8000)</f>
        <v>18000</v>
      </c>
      <c r="I98" s="7">
        <f>H98-D98</f>
        <v>10000</v>
      </c>
    </row>
  </sheetData>
  <mergeCells count="1">
    <mergeCell ref="A1:I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